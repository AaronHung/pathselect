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rgb="FFFF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0" borderId="2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N76"/>
  <sheetViews>
    <sheetView tabSelected="1" topLeftCell="T1" zoomScaleNormal="100" workbookViewId="0">
      <selection activeCell="AQ24" sqref="AQ24"/>
    </sheetView>
  </sheetViews>
  <sheetFormatPr baseColWidth="8" defaultRowHeight="14.25"/>
  <cols>
    <col width="9" customWidth="1" style="20" min="1" max="1"/>
    <col width="16.5" customWidth="1" style="20" min="2" max="2"/>
    <col width="9" customWidth="1" style="20" min="3" max="16384"/>
  </cols>
  <sheetData>
    <row r="2">
      <c r="B2" s="35" t="inlineStr">
        <is>
          <t>fwd10</t>
        </is>
      </c>
      <c r="C2" s="36" t="n"/>
      <c r="D2" s="36" t="n"/>
      <c r="E2" s="36" t="n"/>
      <c r="F2" s="36" t="n"/>
      <c r="G2" s="36" t="n"/>
      <c r="H2" s="37" t="n"/>
      <c r="J2" s="38" t="inlineStr">
        <is>
          <t>TEST ACC</t>
        </is>
      </c>
      <c r="K2" s="39" t="n"/>
      <c r="L2" s="39" t="n"/>
      <c r="M2" s="39" t="n"/>
      <c r="N2" s="39" t="n"/>
      <c r="O2" s="39" t="n"/>
      <c r="P2" s="39" t="n"/>
      <c r="Q2" s="40" t="n"/>
      <c r="S2" s="38" t="inlineStr">
        <is>
          <t>Forgetting and BWT (TEST ACC)</t>
        </is>
      </c>
      <c r="T2" s="39" t="n"/>
      <c r="U2" s="39" t="n"/>
      <c r="V2" s="39" t="n"/>
      <c r="W2" s="39" t="n"/>
      <c r="X2" s="39" t="n"/>
      <c r="Y2" s="39" t="n"/>
      <c r="Z2" s="39" t="n"/>
      <c r="AA2" s="39" t="n"/>
      <c r="AB2" s="40" t="n"/>
      <c r="AD2" s="38" t="inlineStr">
        <is>
          <t>Upper-bound ratio (TEST ACC)</t>
        </is>
      </c>
      <c r="AE2" s="39" t="n"/>
      <c r="AF2" s="39" t="n"/>
      <c r="AG2" s="39" t="n"/>
      <c r="AH2" s="39" t="n"/>
      <c r="AI2" s="39" t="n"/>
      <c r="AJ2" s="39" t="n"/>
      <c r="AK2" s="39" t="n"/>
      <c r="AL2" s="39" t="n"/>
      <c r="AM2" s="40" t="n"/>
      <c r="AO2" s="38" t="inlineStr">
        <is>
          <t>TEST Masked ACC</t>
        </is>
      </c>
      <c r="AP2" s="39" t="n"/>
      <c r="AQ2" s="39" t="n"/>
      <c r="AR2" s="39" t="n"/>
      <c r="AS2" s="39" t="n"/>
      <c r="AT2" s="39" t="n"/>
      <c r="AU2" s="39" t="n"/>
      <c r="AV2" s="40" t="n"/>
      <c r="AX2" s="38" t="inlineStr">
        <is>
          <t>TEST Masked AUC</t>
        </is>
      </c>
      <c r="AY2" s="39" t="n"/>
      <c r="AZ2" s="39" t="n"/>
      <c r="BA2" s="39" t="n"/>
      <c r="BB2" s="39" t="n"/>
      <c r="BC2" s="39" t="n"/>
      <c r="BD2" s="39" t="n"/>
      <c r="BE2" s="40" t="n"/>
      <c r="BG2" s="38" t="inlineStr">
        <is>
          <t>VAL ACC</t>
        </is>
      </c>
      <c r="BH2" s="39" t="n"/>
      <c r="BI2" s="39" t="n"/>
      <c r="BJ2" s="39" t="n"/>
      <c r="BK2" s="39" t="n"/>
      <c r="BL2" s="39" t="n"/>
      <c r="BM2" s="39" t="n"/>
      <c r="BN2" s="40" t="n"/>
    </row>
    <row r="3">
      <c r="B3" s="19" t="n"/>
      <c r="E3" s="30" t="inlineStr">
        <is>
          <t>tcga_lung</t>
        </is>
      </c>
      <c r="F3" s="30" t="inlineStr">
        <is>
          <t>tcga_brca</t>
        </is>
      </c>
      <c r="G3" s="30" t="inlineStr">
        <is>
          <t>tcga_rcc</t>
        </is>
      </c>
      <c r="H3" s="5" t="inlineStr">
        <is>
          <t>tcga_esca</t>
        </is>
      </c>
      <c r="J3" s="22">
        <f>B2</f>
        <v/>
      </c>
      <c r="K3" s="41" t="n"/>
      <c r="L3" s="41" t="n"/>
      <c r="M3" s="41" t="n"/>
      <c r="N3" s="41" t="n"/>
      <c r="O3" s="41" t="n"/>
      <c r="P3" s="41" t="n"/>
      <c r="Q3" s="42" t="n"/>
      <c r="S3" s="22">
        <f>B2</f>
        <v/>
      </c>
      <c r="T3" s="41" t="n"/>
      <c r="U3" s="41" t="n"/>
      <c r="V3" s="41" t="n"/>
      <c r="W3" s="41" t="n"/>
      <c r="X3" s="41" t="n"/>
      <c r="Y3" s="41" t="n"/>
      <c r="Z3" s="41" t="n"/>
      <c r="AA3" s="41" t="n"/>
      <c r="AB3" s="42" t="n"/>
      <c r="AD3" s="32">
        <f>B2</f>
        <v/>
      </c>
      <c r="AE3" s="43" t="n"/>
      <c r="AF3" s="43" t="n"/>
      <c r="AG3" s="43" t="n"/>
      <c r="AH3" s="43" t="n"/>
      <c r="AI3" s="43" t="n"/>
      <c r="AJ3" s="43" t="n"/>
      <c r="AK3" s="43" t="n"/>
      <c r="AL3" s="43" t="n"/>
      <c r="AM3" s="44" t="n"/>
      <c r="AO3" s="22">
        <f>B2</f>
        <v/>
      </c>
      <c r="AP3" s="41" t="n"/>
      <c r="AQ3" s="41" t="n"/>
      <c r="AR3" s="41" t="n"/>
      <c r="AS3" s="41" t="n"/>
      <c r="AT3" s="41" t="n"/>
      <c r="AU3" s="41" t="n"/>
      <c r="AV3" s="42" t="n"/>
      <c r="AX3" s="22">
        <f>B2</f>
        <v/>
      </c>
      <c r="AY3" s="41" t="n"/>
      <c r="AZ3" s="41" t="n"/>
      <c r="BA3" s="41" t="n"/>
      <c r="BB3" s="41" t="n"/>
      <c r="BC3" s="41" t="n"/>
      <c r="BD3" s="41" t="n"/>
      <c r="BE3" s="42" t="n"/>
      <c r="BG3" s="22">
        <f>B2</f>
        <v/>
      </c>
      <c r="BH3" s="41" t="n"/>
      <c r="BI3" s="41" t="n"/>
      <c r="BJ3" s="41" t="n"/>
      <c r="BK3" s="41" t="n"/>
      <c r="BL3" s="41" t="n"/>
      <c r="BM3" s="41" t="n"/>
      <c r="BN3" s="42" t="n"/>
    </row>
    <row r="4">
      <c r="B4" s="18" t="inlineStr">
        <is>
          <t>TEST ACC</t>
        </is>
      </c>
      <c r="C4" s="20" t="inlineStr">
        <is>
          <t>fold1</t>
        </is>
      </c>
      <c r="D4" s="20" t="inlineStr">
        <is>
          <t>dataset1</t>
        </is>
      </c>
      <c r="E4" s="27" t="n">
        <v>0.905263</v>
      </c>
      <c r="F4" s="20" t="inlineStr">
        <is>
          <t>-</t>
        </is>
      </c>
      <c r="G4" s="20" t="inlineStr">
        <is>
          <t>-</t>
        </is>
      </c>
      <c r="H4" s="6" t="inlineStr">
        <is>
          <t>-</t>
        </is>
      </c>
      <c r="J4" s="7" t="n"/>
      <c r="K4" s="27">
        <f>E3</f>
        <v/>
      </c>
      <c r="L4" s="27">
        <f>F3</f>
        <v/>
      </c>
      <c r="M4" s="27">
        <f>G3</f>
        <v/>
      </c>
      <c r="N4" s="27">
        <f>H3</f>
        <v/>
      </c>
      <c r="O4" s="20" t="inlineStr">
        <is>
          <t>average</t>
        </is>
      </c>
      <c r="P4" s="20" t="inlineStr">
        <is>
          <t>SD</t>
        </is>
      </c>
      <c r="Q4" s="8" t="inlineStr">
        <is>
          <t>SE</t>
        </is>
      </c>
      <c r="S4" s="7" t="inlineStr">
        <is>
          <t>fold1</t>
        </is>
      </c>
      <c r="T4" s="20" t="inlineStr">
        <is>
          <t>dataset1</t>
        </is>
      </c>
      <c r="U4" s="20" t="inlineStr">
        <is>
          <t>dataset2</t>
        </is>
      </c>
      <c r="V4" s="20" t="inlineStr">
        <is>
          <t>dataset3</t>
        </is>
      </c>
      <c r="W4" s="20" t="inlineStr">
        <is>
          <t>average</t>
        </is>
      </c>
      <c r="X4" s="20" t="inlineStr">
        <is>
          <t>SD</t>
        </is>
      </c>
      <c r="Y4" s="20" t="inlineStr">
        <is>
          <t>SE</t>
        </is>
      </c>
      <c r="AB4" s="8" t="n"/>
      <c r="AD4" s="7" t="n"/>
      <c r="AE4" s="27">
        <f>E3</f>
        <v/>
      </c>
      <c r="AF4" s="27">
        <f>F3</f>
        <v/>
      </c>
      <c r="AG4" s="27">
        <f>G3</f>
        <v/>
      </c>
      <c r="AH4" s="27">
        <f>H3</f>
        <v/>
      </c>
      <c r="AI4" s="20" t="inlineStr">
        <is>
          <t>average</t>
        </is>
      </c>
      <c r="AJ4" s="20" t="inlineStr">
        <is>
          <t>SD</t>
        </is>
      </c>
      <c r="AK4" s="20" t="inlineStr">
        <is>
          <t>SE</t>
        </is>
      </c>
      <c r="AM4" s="8" t="n"/>
      <c r="AO4" s="7" t="n"/>
      <c r="AP4" s="27">
        <f>E3</f>
        <v/>
      </c>
      <c r="AQ4" s="27">
        <f>F3</f>
        <v/>
      </c>
      <c r="AR4" s="27">
        <f>G3</f>
        <v/>
      </c>
      <c r="AS4" s="27">
        <f>H3</f>
        <v/>
      </c>
      <c r="AT4" s="20" t="inlineStr">
        <is>
          <t>average</t>
        </is>
      </c>
      <c r="AU4" s="20" t="inlineStr">
        <is>
          <t>SD</t>
        </is>
      </c>
      <c r="AV4" s="8" t="inlineStr">
        <is>
          <t>SE</t>
        </is>
      </c>
      <c r="AX4" s="7" t="n"/>
      <c r="AY4" s="27">
        <f>E3</f>
        <v/>
      </c>
      <c r="AZ4" s="27">
        <f>F3</f>
        <v/>
      </c>
      <c r="BA4" s="27">
        <f>G3</f>
        <v/>
      </c>
      <c r="BB4" s="27">
        <f>H3</f>
        <v/>
      </c>
      <c r="BC4" s="20" t="inlineStr">
        <is>
          <t>average</t>
        </is>
      </c>
      <c r="BD4" s="20" t="inlineStr">
        <is>
          <t>SD</t>
        </is>
      </c>
      <c r="BE4" s="8" t="inlineStr">
        <is>
          <t>SE</t>
        </is>
      </c>
      <c r="BG4" s="7" t="n"/>
      <c r="BH4" s="27">
        <f>E3</f>
        <v/>
      </c>
      <c r="BI4" s="27">
        <f>F3</f>
        <v/>
      </c>
      <c r="BJ4" s="27">
        <f>G3</f>
        <v/>
      </c>
      <c r="BK4" s="27">
        <f>H3</f>
        <v/>
      </c>
      <c r="BL4" s="20" t="inlineStr">
        <is>
          <t>average</t>
        </is>
      </c>
      <c r="BM4" s="20" t="inlineStr">
        <is>
          <t>SD</t>
        </is>
      </c>
      <c r="BN4" s="8" t="inlineStr">
        <is>
          <t>SE</t>
        </is>
      </c>
    </row>
    <row r="5">
      <c r="B5" s="45" t="n"/>
      <c r="D5" s="20" t="inlineStr">
        <is>
          <t>dataset2</t>
        </is>
      </c>
      <c r="E5" s="30" t="n">
        <v>0.884211</v>
      </c>
      <c r="F5" s="30" t="n">
        <v>0.83871</v>
      </c>
      <c r="G5" s="20" t="inlineStr">
        <is>
          <t>-</t>
        </is>
      </c>
      <c r="H5" s="6" t="inlineStr">
        <is>
          <t>-</t>
        </is>
      </c>
      <c r="J5" s="7" t="inlineStr">
        <is>
          <t>fold1</t>
        </is>
      </c>
      <c r="K5" s="27">
        <f>E7</f>
        <v/>
      </c>
      <c r="L5" s="27">
        <f>F7</f>
        <v/>
      </c>
      <c r="M5" s="27">
        <f>G7</f>
        <v/>
      </c>
      <c r="N5" s="27">
        <f>H7</f>
        <v/>
      </c>
      <c r="O5" s="20">
        <f>AVERAGE(OFFSET(INDIRECT(ADDRESS(ROW(), COLUMN())), 0, -4, 1, 4))</f>
        <v/>
      </c>
      <c r="P5" s="20">
        <f>_xlfn.STDEV.S(OFFSET(INDIRECT(ADDRESS(ROW(), COLUMN())), 0, -5, 1, 4))</f>
        <v/>
      </c>
      <c r="Q5" s="8">
        <f>_xlfn.STDEV.S(OFFSET(INDIRECT(ADDRESS(ROW(), COLUMN())), 0, -6, 1, 4)) / SQRT(4)</f>
        <v/>
      </c>
      <c r="S5" s="21">
        <f>E3</f>
        <v/>
      </c>
      <c r="T5" s="30">
        <f>E4</f>
        <v/>
      </c>
      <c r="U5" s="20" t="inlineStr">
        <is>
          <t>-</t>
        </is>
      </c>
      <c r="V5" s="20" t="inlineStr">
        <is>
          <t>-</t>
        </is>
      </c>
      <c r="AB5" s="8" t="n"/>
      <c r="AD5" s="7" t="inlineStr">
        <is>
          <t>upper1</t>
        </is>
      </c>
      <c r="AE5" s="27" t="n">
        <v>0.884211</v>
      </c>
      <c r="AF5" s="27" t="n">
        <v>0.8817199999999999</v>
      </c>
      <c r="AG5" s="27" t="n">
        <v>0.947368</v>
      </c>
      <c r="AH5" s="27" t="n">
        <v>0.933333</v>
      </c>
      <c r="AM5" s="8" t="n"/>
      <c r="AO5" s="7" t="inlineStr">
        <is>
          <t>fold1</t>
        </is>
      </c>
      <c r="AP5" s="27">
        <f>E44</f>
        <v/>
      </c>
      <c r="AQ5" s="27">
        <f>F44</f>
        <v/>
      </c>
      <c r="AR5" s="27">
        <f>G44</f>
        <v/>
      </c>
      <c r="AS5" s="27">
        <f>H44</f>
        <v/>
      </c>
      <c r="AT5" s="20">
        <f>AVERAGE(OFFSET(INDIRECT(ADDRESS(ROW(), COLUMN())), 0, -4, 1, 4))</f>
        <v/>
      </c>
      <c r="AU5" s="20">
        <f>_xlfn.STDEV.S(OFFSET(INDIRECT(ADDRESS(ROW(), COLUMN())), 0, -5, 1, 4))</f>
        <v/>
      </c>
      <c r="AV5" s="8">
        <f>_xlfn.STDEV.S(OFFSET(INDIRECT(ADDRESS(ROW(), COLUMN())), 0, -6, 1, 4)) / SQRT(4)</f>
        <v/>
      </c>
      <c r="AX5" s="7" t="inlineStr">
        <is>
          <t>fold1</t>
        </is>
      </c>
      <c r="AY5" s="27">
        <f>E54</f>
        <v/>
      </c>
      <c r="AZ5" s="27">
        <f>F54</f>
        <v/>
      </c>
      <c r="BA5" s="27">
        <f>G54</f>
        <v/>
      </c>
      <c r="BB5" s="27">
        <f>H54</f>
        <v/>
      </c>
      <c r="BC5" s="20">
        <f>AVERAGE(OFFSET(INDIRECT(ADDRESS(ROW(), COLUMN())), 0, -4, 1, 4))</f>
        <v/>
      </c>
      <c r="BD5" s="20">
        <f>_xlfn.STDEV.S(OFFSET(INDIRECT(ADDRESS(ROW(), COLUMN())), 0, -5, 1, 4))</f>
        <v/>
      </c>
      <c r="BE5" s="8">
        <f>_xlfn.STDEV.S(OFFSET(INDIRECT(ADDRESS(ROW(), COLUMN())), 0, -6, 1, 4)) / SQRT(4)</f>
        <v/>
      </c>
      <c r="BG5" s="7" t="inlineStr">
        <is>
          <t>fold1</t>
        </is>
      </c>
      <c r="BH5" s="27">
        <f>E64</f>
        <v/>
      </c>
      <c r="BI5" s="27">
        <f>F64</f>
        <v/>
      </c>
      <c r="BJ5" s="27">
        <f>G64</f>
        <v/>
      </c>
      <c r="BK5" s="27">
        <f>H64</f>
        <v/>
      </c>
      <c r="BL5" s="20">
        <f>AVERAGE(OFFSET(INDIRECT(ADDRESS(ROW(), COLUMN())), 0, -4, 1, 4))</f>
        <v/>
      </c>
      <c r="BM5" s="20">
        <f>_xlfn.STDEV.S(OFFSET(INDIRECT(ADDRESS(ROW(), COLUMN())), 0, -5, 1, 4))</f>
        <v/>
      </c>
      <c r="BN5" s="8">
        <f>_xlfn.STDEV.S(OFFSET(INDIRECT(ADDRESS(ROW(), COLUMN())), 0, -6, 1, 4)) / SQRT(4)</f>
        <v/>
      </c>
    </row>
    <row r="6">
      <c r="B6" s="45" t="n"/>
      <c r="D6" s="20" t="inlineStr">
        <is>
          <t>dataset3</t>
        </is>
      </c>
      <c r="E6" s="30" t="n">
        <v>0.884211</v>
      </c>
      <c r="F6" s="30" t="n">
        <v>0.83871</v>
      </c>
      <c r="G6" s="30" t="n">
        <v>0.907895</v>
      </c>
      <c r="H6" s="6" t="inlineStr">
        <is>
          <t>-</t>
        </is>
      </c>
      <c r="J6" s="7" t="inlineStr">
        <is>
          <t>fold2</t>
        </is>
      </c>
      <c r="K6" s="27">
        <f>E11</f>
        <v/>
      </c>
      <c r="L6" s="27">
        <f>F11</f>
        <v/>
      </c>
      <c r="M6" s="27">
        <f>G11</f>
        <v/>
      </c>
      <c r="N6" s="27">
        <f>H11</f>
        <v/>
      </c>
      <c r="O6" s="20">
        <f>AVERAGE(OFFSET(INDIRECT(ADDRESS(ROW(), COLUMN())), 0, -4, 1, 4))</f>
        <v/>
      </c>
      <c r="P6" s="20">
        <f>_xlfn.STDEV.S(OFFSET(INDIRECT(ADDRESS(ROW(), COLUMN())), 0, -5, 1, 4))</f>
        <v/>
      </c>
      <c r="Q6" s="8">
        <f>_xlfn.STDEV.S(OFFSET(INDIRECT(ADDRESS(ROW(), COLUMN())), 0, -6, 1, 4)) / SQRT(4)</f>
        <v/>
      </c>
      <c r="S6" s="15">
        <f>F3</f>
        <v/>
      </c>
      <c r="T6" s="30">
        <f>E5</f>
        <v/>
      </c>
      <c r="U6" s="30">
        <f>F5</f>
        <v/>
      </c>
      <c r="V6" s="20" t="inlineStr">
        <is>
          <t>-</t>
        </is>
      </c>
      <c r="AB6" s="8" t="n"/>
      <c r="AD6" s="7" t="inlineStr">
        <is>
          <t>fold1</t>
        </is>
      </c>
      <c r="AE6" s="27">
        <f>E7</f>
        <v/>
      </c>
      <c r="AF6" s="27">
        <f>F7</f>
        <v/>
      </c>
      <c r="AG6" s="27">
        <f>G7</f>
        <v/>
      </c>
      <c r="AH6" s="27">
        <f>H7</f>
        <v/>
      </c>
      <c r="AM6" s="8" t="n"/>
      <c r="AO6" s="7" t="inlineStr">
        <is>
          <t>fold2</t>
        </is>
      </c>
      <c r="AP6" s="27">
        <f>E45</f>
        <v/>
      </c>
      <c r="AQ6" s="27">
        <f>F45</f>
        <v/>
      </c>
      <c r="AR6" s="27">
        <f>G45</f>
        <v/>
      </c>
      <c r="AS6" s="27">
        <f>H45</f>
        <v/>
      </c>
      <c r="AT6" s="20">
        <f>AVERAGE(OFFSET(INDIRECT(ADDRESS(ROW(), COLUMN())), 0, -4, 1, 4))</f>
        <v/>
      </c>
      <c r="AU6" s="20">
        <f>_xlfn.STDEV.S(OFFSET(INDIRECT(ADDRESS(ROW(), COLUMN())), 0, -5, 1, 4))</f>
        <v/>
      </c>
      <c r="AV6" s="8">
        <f>_xlfn.STDEV.S(OFFSET(INDIRECT(ADDRESS(ROW(), COLUMN())), 0, -6, 1, 4)) / SQRT(4)</f>
        <v/>
      </c>
      <c r="AX6" s="7" t="inlineStr">
        <is>
          <t>fold2</t>
        </is>
      </c>
      <c r="AY6" s="27">
        <f>E55</f>
        <v/>
      </c>
      <c r="AZ6" s="27">
        <f>F55</f>
        <v/>
      </c>
      <c r="BA6" s="27">
        <f>G55</f>
        <v/>
      </c>
      <c r="BB6" s="27">
        <f>H55</f>
        <v/>
      </c>
      <c r="BC6" s="20">
        <f>AVERAGE(OFFSET(INDIRECT(ADDRESS(ROW(), COLUMN())), 0, -4, 1, 4))</f>
        <v/>
      </c>
      <c r="BD6" s="20">
        <f>_xlfn.STDEV.S(OFFSET(INDIRECT(ADDRESS(ROW(), COLUMN())), 0, -5, 1, 4))</f>
        <v/>
      </c>
      <c r="BE6" s="8">
        <f>_xlfn.STDEV.S(OFFSET(INDIRECT(ADDRESS(ROW(), COLUMN())), 0, -6, 1, 4)) / SQRT(4)</f>
        <v/>
      </c>
      <c r="BG6" s="7" t="inlineStr">
        <is>
          <t>fold2</t>
        </is>
      </c>
      <c r="BH6" s="27">
        <f>E65</f>
        <v/>
      </c>
      <c r="BI6" s="27">
        <f>F65</f>
        <v/>
      </c>
      <c r="BJ6" s="27">
        <f>G65</f>
        <v/>
      </c>
      <c r="BK6" s="27">
        <f>H65</f>
        <v/>
      </c>
      <c r="BL6" s="20">
        <f>AVERAGE(OFFSET(INDIRECT(ADDRESS(ROW(), COLUMN())), 0, -4, 1, 4))</f>
        <v/>
      </c>
      <c r="BM6" s="20">
        <f>_xlfn.STDEV.S(OFFSET(INDIRECT(ADDRESS(ROW(), COLUMN())), 0, -5, 1, 4))</f>
        <v/>
      </c>
      <c r="BN6" s="8">
        <f>_xlfn.STDEV.S(OFFSET(INDIRECT(ADDRESS(ROW(), COLUMN())), 0, -6, 1, 4)) / SQRT(4)</f>
        <v/>
      </c>
    </row>
    <row r="7">
      <c r="B7" s="45" t="n"/>
      <c r="D7" s="20" t="inlineStr">
        <is>
          <t>dataset4</t>
        </is>
      </c>
      <c r="E7" s="30" t="n">
        <v>0.810526</v>
      </c>
      <c r="F7" s="30" t="n">
        <v>0.83871</v>
      </c>
      <c r="G7" s="30" t="n">
        <v>0.907895</v>
      </c>
      <c r="H7" s="5" t="n">
        <v>0.866667</v>
      </c>
      <c r="J7" s="7" t="inlineStr">
        <is>
          <t>fold3</t>
        </is>
      </c>
      <c r="K7" s="27">
        <f>E15</f>
        <v/>
      </c>
      <c r="L7" s="27">
        <f>F15</f>
        <v/>
      </c>
      <c r="M7" s="27">
        <f>G15</f>
        <v/>
      </c>
      <c r="N7" s="27">
        <f>H15</f>
        <v/>
      </c>
      <c r="O7" s="20">
        <f>AVERAGE(OFFSET(INDIRECT(ADDRESS(ROW(), COLUMN())), 0, -4, 1, 4))</f>
        <v/>
      </c>
      <c r="P7" s="20">
        <f>_xlfn.STDEV.S(OFFSET(INDIRECT(ADDRESS(ROW(), COLUMN())), 0, -5, 1, 4))</f>
        <v/>
      </c>
      <c r="Q7" s="8">
        <f>_xlfn.STDEV.S(OFFSET(INDIRECT(ADDRESS(ROW(), COLUMN())), 0, -6, 1, 4)) / SQRT(4)</f>
        <v/>
      </c>
      <c r="S7" s="15">
        <f>G3</f>
        <v/>
      </c>
      <c r="T7" s="30">
        <f>E6</f>
        <v/>
      </c>
      <c r="U7" s="30">
        <f>F6</f>
        <v/>
      </c>
      <c r="V7" s="30">
        <f>G6</f>
        <v/>
      </c>
      <c r="AB7" s="8" t="n"/>
      <c r="AD7" s="7" t="inlineStr">
        <is>
          <t>ratio</t>
        </is>
      </c>
      <c r="AE7" s="20">
        <f t="array" ref="AE7">OFFSET(INDIRECT(ADDRESS(ROW(), COLUMN())), -1, 0) / OFFSET(INDIRECT(ADDRESS(ROW(), COLUMN())), -2, 0)</f>
        <v/>
      </c>
      <c r="AF7" s="20">
        <f t="array" ref="AF7">OFFSET(INDIRECT(ADDRESS(ROW(), COLUMN())), -1, 0) / OFFSET(INDIRECT(ADDRESS(ROW(), COLUMN())), -2, 0)</f>
        <v/>
      </c>
      <c r="AG7" s="20">
        <f t="array" ref="AG7">OFFSET(INDIRECT(ADDRESS(ROW(), COLUMN())), -1, 0) / OFFSET(INDIRECT(ADDRESS(ROW(), COLUMN())), -2, 0)</f>
        <v/>
      </c>
      <c r="AH7" s="20">
        <f t="array" ref="AH7">OFFSET(INDIRECT(ADDRESS(ROW(), COLUMN())), -1, 0) / OFFSET(INDIRECT(ADDRESS(ROW(), COLUMN())), -2, 0)</f>
        <v/>
      </c>
      <c r="AI7" s="20">
        <f>AVERAGE(OFFSET(INDIRECT(ADDRESS(ROW(), COLUMN())), 0, -4, 1, 4))</f>
        <v/>
      </c>
      <c r="AJ7" s="20">
        <f>_xlfn.STDEV.S(OFFSET(INDIRECT(ADDRESS(ROW(), COLUMN())), 0, -5, 1, 4))</f>
        <v/>
      </c>
      <c r="AK7" s="20">
        <f>_xlfn.STDEV.S(OFFSET(INDIRECT(ADDRESS(ROW(), COLUMN())), 0, -6, 1, 4)) / SQRT(4)</f>
        <v/>
      </c>
      <c r="AM7" s="8" t="n"/>
      <c r="AO7" s="7" t="inlineStr">
        <is>
          <t>fold3</t>
        </is>
      </c>
      <c r="AP7" s="27">
        <f>E46</f>
        <v/>
      </c>
      <c r="AQ7" s="27">
        <f>F46</f>
        <v/>
      </c>
      <c r="AR7" s="27">
        <f>G46</f>
        <v/>
      </c>
      <c r="AS7" s="27">
        <f>H46</f>
        <v/>
      </c>
      <c r="AT7" s="20">
        <f>AVERAGE(OFFSET(INDIRECT(ADDRESS(ROW(), COLUMN())), 0, -4, 1, 4))</f>
        <v/>
      </c>
      <c r="AU7" s="20">
        <f>_xlfn.STDEV.S(OFFSET(INDIRECT(ADDRESS(ROW(), COLUMN())), 0, -5, 1, 4))</f>
        <v/>
      </c>
      <c r="AV7" s="8">
        <f>_xlfn.STDEV.S(OFFSET(INDIRECT(ADDRESS(ROW(), COLUMN())), 0, -6, 1, 4)) / SQRT(4)</f>
        <v/>
      </c>
      <c r="AX7" s="7" t="inlineStr">
        <is>
          <t>fold3</t>
        </is>
      </c>
      <c r="AY7" s="27">
        <f>E56</f>
        <v/>
      </c>
      <c r="AZ7" s="27">
        <f>F56</f>
        <v/>
      </c>
      <c r="BA7" s="27">
        <f>G56</f>
        <v/>
      </c>
      <c r="BB7" s="27">
        <f>H56</f>
        <v/>
      </c>
      <c r="BC7" s="20">
        <f>AVERAGE(OFFSET(INDIRECT(ADDRESS(ROW(), COLUMN())), 0, -4, 1, 4))</f>
        <v/>
      </c>
      <c r="BD7" s="20">
        <f>_xlfn.STDEV.S(OFFSET(INDIRECT(ADDRESS(ROW(), COLUMN())), 0, -5, 1, 4))</f>
        <v/>
      </c>
      <c r="BE7" s="8">
        <f>_xlfn.STDEV.S(OFFSET(INDIRECT(ADDRESS(ROW(), COLUMN())), 0, -6, 1, 4)) / SQRT(4)</f>
        <v/>
      </c>
      <c r="BG7" s="7" t="inlineStr">
        <is>
          <t>fold3</t>
        </is>
      </c>
      <c r="BH7" s="27">
        <f>E66</f>
        <v/>
      </c>
      <c r="BI7" s="27">
        <f>F66</f>
        <v/>
      </c>
      <c r="BJ7" s="27">
        <f>G66</f>
        <v/>
      </c>
      <c r="BK7" s="27">
        <f>H66</f>
        <v/>
      </c>
      <c r="BL7" s="20">
        <f>AVERAGE(OFFSET(INDIRECT(ADDRESS(ROW(), COLUMN())), 0, -4, 1, 4))</f>
        <v/>
      </c>
      <c r="BM7" s="20">
        <f>_xlfn.STDEV.S(OFFSET(INDIRECT(ADDRESS(ROW(), COLUMN())), 0, -5, 1, 4))</f>
        <v/>
      </c>
      <c r="BN7" s="8">
        <f>_xlfn.STDEV.S(OFFSET(INDIRECT(ADDRESS(ROW(), COLUMN())), 0, -6, 1, 4)) / SQRT(4)</f>
        <v/>
      </c>
    </row>
    <row r="8">
      <c r="B8" s="45" t="n"/>
      <c r="C8" s="20" t="inlineStr">
        <is>
          <t>fold2</t>
        </is>
      </c>
      <c r="D8" s="20" t="inlineStr">
        <is>
          <t>dataset1</t>
        </is>
      </c>
      <c r="E8" s="27" t="n">
        <v>0.936842</v>
      </c>
      <c r="F8" s="20" t="inlineStr">
        <is>
          <t>-</t>
        </is>
      </c>
      <c r="G8" s="20" t="inlineStr">
        <is>
          <t>-</t>
        </is>
      </c>
      <c r="H8" s="6" t="inlineStr">
        <is>
          <t>-</t>
        </is>
      </c>
      <c r="J8" s="7" t="inlineStr">
        <is>
          <t>fold4</t>
        </is>
      </c>
      <c r="K8" s="27">
        <f>E19</f>
        <v/>
      </c>
      <c r="L8" s="27">
        <f>F19</f>
        <v/>
      </c>
      <c r="M8" s="27">
        <f>G19</f>
        <v/>
      </c>
      <c r="N8" s="27">
        <f>H19</f>
        <v/>
      </c>
      <c r="O8" s="20">
        <f>AVERAGE(OFFSET(INDIRECT(ADDRESS(ROW(), COLUMN())), 0, -4, 1, 4))</f>
        <v/>
      </c>
      <c r="P8" s="20">
        <f>_xlfn.STDEV.S(OFFSET(INDIRECT(ADDRESS(ROW(), COLUMN())), 0, -5, 1, 4))</f>
        <v/>
      </c>
      <c r="Q8" s="8">
        <f>_xlfn.STDEV.S(OFFSET(INDIRECT(ADDRESS(ROW(), COLUMN())), 0, -6, 1, 4)) / SQRT(4)</f>
        <v/>
      </c>
      <c r="S8" s="15">
        <f>H3</f>
        <v/>
      </c>
      <c r="T8" s="27">
        <f>E7</f>
        <v/>
      </c>
      <c r="U8" s="27">
        <f>F7</f>
        <v/>
      </c>
      <c r="V8" s="27">
        <f>G7</f>
        <v/>
      </c>
      <c r="AB8" s="8" t="n"/>
      <c r="AD8" s="7" t="inlineStr">
        <is>
          <t>upper2</t>
        </is>
      </c>
      <c r="AE8" s="30" t="n">
        <v>0.968421</v>
      </c>
      <c r="AF8" s="30" t="n">
        <v>0.915789</v>
      </c>
      <c r="AG8" s="30" t="n">
        <v>0.987654</v>
      </c>
      <c r="AH8" s="30" t="n">
        <v>0.866667</v>
      </c>
      <c r="AM8" s="8" t="n"/>
      <c r="AO8" s="7" t="inlineStr">
        <is>
          <t>fold4</t>
        </is>
      </c>
      <c r="AP8" s="27">
        <f>E47</f>
        <v/>
      </c>
      <c r="AQ8" s="27">
        <f>F47</f>
        <v/>
      </c>
      <c r="AR8" s="27">
        <f>G47</f>
        <v/>
      </c>
      <c r="AS8" s="27">
        <f>H47</f>
        <v/>
      </c>
      <c r="AT8" s="20">
        <f>AVERAGE(OFFSET(INDIRECT(ADDRESS(ROW(), COLUMN())), 0, -4, 1, 4))</f>
        <v/>
      </c>
      <c r="AU8" s="20">
        <f>_xlfn.STDEV.S(OFFSET(INDIRECT(ADDRESS(ROW(), COLUMN())), 0, -5, 1, 4))</f>
        <v/>
      </c>
      <c r="AV8" s="8">
        <f>_xlfn.STDEV.S(OFFSET(INDIRECT(ADDRESS(ROW(), COLUMN())), 0, -6, 1, 4)) / SQRT(4)</f>
        <v/>
      </c>
      <c r="AX8" s="7" t="inlineStr">
        <is>
          <t>fold4</t>
        </is>
      </c>
      <c r="AY8" s="27">
        <f>E57</f>
        <v/>
      </c>
      <c r="AZ8" s="27">
        <f>F57</f>
        <v/>
      </c>
      <c r="BA8" s="27">
        <f>G57</f>
        <v/>
      </c>
      <c r="BB8" s="27">
        <f>H57</f>
        <v/>
      </c>
      <c r="BC8" s="20">
        <f>AVERAGE(OFFSET(INDIRECT(ADDRESS(ROW(), COLUMN())), 0, -4, 1, 4))</f>
        <v/>
      </c>
      <c r="BD8" s="20">
        <f>_xlfn.STDEV.S(OFFSET(INDIRECT(ADDRESS(ROW(), COLUMN())), 0, -5, 1, 4))</f>
        <v/>
      </c>
      <c r="BE8" s="8">
        <f>_xlfn.STDEV.S(OFFSET(INDIRECT(ADDRESS(ROW(), COLUMN())), 0, -6, 1, 4)) / SQRT(4)</f>
        <v/>
      </c>
      <c r="BG8" s="7" t="inlineStr">
        <is>
          <t>fold4</t>
        </is>
      </c>
      <c r="BH8" s="27">
        <f>E67</f>
        <v/>
      </c>
      <c r="BI8" s="27">
        <f>F67</f>
        <v/>
      </c>
      <c r="BJ8" s="27">
        <f>G67</f>
        <v/>
      </c>
      <c r="BK8" s="27">
        <f>H67</f>
        <v/>
      </c>
      <c r="BL8" s="20">
        <f>AVERAGE(OFFSET(INDIRECT(ADDRESS(ROW(), COLUMN())), 0, -4, 1, 4))</f>
        <v/>
      </c>
      <c r="BM8" s="20">
        <f>_xlfn.STDEV.S(OFFSET(INDIRECT(ADDRESS(ROW(), COLUMN())), 0, -5, 1, 4))</f>
        <v/>
      </c>
      <c r="BN8" s="8">
        <f>_xlfn.STDEV.S(OFFSET(INDIRECT(ADDRESS(ROW(), COLUMN())), 0, -6, 1, 4)) / SQRT(4)</f>
        <v/>
      </c>
    </row>
    <row r="9">
      <c r="B9" s="45" t="n"/>
      <c r="D9" s="20" t="inlineStr">
        <is>
          <t>dataset2</t>
        </is>
      </c>
      <c r="E9" s="30" t="n">
        <v>0.926316</v>
      </c>
      <c r="F9" s="30" t="n">
        <v>0.873684</v>
      </c>
      <c r="G9" s="20" t="inlineStr">
        <is>
          <t>-</t>
        </is>
      </c>
      <c r="H9" s="6" t="inlineStr">
        <is>
          <t>-</t>
        </is>
      </c>
      <c r="J9" s="7" t="inlineStr">
        <is>
          <t>fold5</t>
        </is>
      </c>
      <c r="K9" s="27">
        <f>E23</f>
        <v/>
      </c>
      <c r="L9" s="27">
        <f>F23</f>
        <v/>
      </c>
      <c r="M9" s="27">
        <f>G23</f>
        <v/>
      </c>
      <c r="N9" s="27">
        <f>H23</f>
        <v/>
      </c>
      <c r="O9" s="20">
        <f>AVERAGE(OFFSET(INDIRECT(ADDRESS(ROW(), COLUMN())), 0, -4, 1, 4))</f>
        <v/>
      </c>
      <c r="P9" s="20">
        <f>_xlfn.STDEV.S(OFFSET(INDIRECT(ADDRESS(ROW(), COLUMN())), 0, -5, 1, 4))</f>
        <v/>
      </c>
      <c r="Q9" s="8">
        <f>_xlfn.STDEV.S(OFFSET(INDIRECT(ADDRESS(ROW(), COLUMN())), 0, -6, 1, 4)) / SQRT(4)</f>
        <v/>
      </c>
      <c r="S9" s="7" t="inlineStr">
        <is>
          <t>Max-Last</t>
        </is>
      </c>
      <c r="T9" s="20">
        <f t="array" ref="T9">MAX(OFFSET(INDIRECT(ADDRESS(ROW(), COLUMN())), -4, 0, 4, 1)) - OFFSET(INDIRECT(ADDRESS(ROW(), COLUMN())), -1, 0)</f>
        <v/>
      </c>
      <c r="U9" s="20">
        <f t="array" ref="U9">MAX(OFFSET(INDIRECT(ADDRESS(ROW(), COLUMN())), -3, 0, 3, 1)) - OFFSET(INDIRECT(ADDRESS(ROW(), COLUMN())), -1, 0)</f>
        <v/>
      </c>
      <c r="V9" s="20">
        <f t="array" ref="V9">MAX(OFFSET(INDIRECT(ADDRESS(ROW(), COLUMN())), -2, 0, 2, 1)) - OFFSET(INDIRECT(ADDRESS(ROW(), COLUMN())), -1, 0)</f>
        <v/>
      </c>
      <c r="W9" s="20">
        <f>AVERAGE(OFFSET(INDIRECT(ADDRESS(ROW(), COLUMN())), 0, -3, 1, 3))</f>
        <v/>
      </c>
      <c r="X9" s="20">
        <f>_xlfn.STDEV.S(OFFSET(INDIRECT(ADDRESS(ROW(), COLUMN())), 0, -4, 1, 3))</f>
        <v/>
      </c>
      <c r="Y9" s="20">
        <f>_xlfn.STDEV.S(OFFSET(INDIRECT(ADDRESS(ROW(), COLUMN())), 0, -5, 1, 3)) / SQRT(3)</f>
        <v/>
      </c>
      <c r="AB9" s="8" t="n"/>
      <c r="AD9" s="7" t="inlineStr">
        <is>
          <t>fold2</t>
        </is>
      </c>
      <c r="AE9" s="30">
        <f>E11</f>
        <v/>
      </c>
      <c r="AF9" s="30">
        <f>F11</f>
        <v/>
      </c>
      <c r="AG9" s="30">
        <f>G11</f>
        <v/>
      </c>
      <c r="AH9" s="30">
        <f>H11</f>
        <v/>
      </c>
      <c r="AM9" s="8" t="n"/>
      <c r="AO9" s="7" t="inlineStr">
        <is>
          <t>fold5</t>
        </is>
      </c>
      <c r="AP9" s="27">
        <f>E48</f>
        <v/>
      </c>
      <c r="AQ9" s="27">
        <f>F48</f>
        <v/>
      </c>
      <c r="AR9" s="27">
        <f>G48</f>
        <v/>
      </c>
      <c r="AS9" s="27">
        <f>H48</f>
        <v/>
      </c>
      <c r="AT9" s="20">
        <f>AVERAGE(OFFSET(INDIRECT(ADDRESS(ROW(), COLUMN())), 0, -4, 1, 4))</f>
        <v/>
      </c>
      <c r="AU9" s="20">
        <f>_xlfn.STDEV.S(OFFSET(INDIRECT(ADDRESS(ROW(), COLUMN())), 0, -5, 1, 4))</f>
        <v/>
      </c>
      <c r="AV9" s="8">
        <f>_xlfn.STDEV.S(OFFSET(INDIRECT(ADDRESS(ROW(), COLUMN())), 0, -6, 1, 4)) / SQRT(4)</f>
        <v/>
      </c>
      <c r="AX9" s="7" t="inlineStr">
        <is>
          <t>fold5</t>
        </is>
      </c>
      <c r="AY9" s="27">
        <f>E58</f>
        <v/>
      </c>
      <c r="AZ9" s="27">
        <f>F58</f>
        <v/>
      </c>
      <c r="BA9" s="27">
        <f>G58</f>
        <v/>
      </c>
      <c r="BB9" s="27">
        <f>H58</f>
        <v/>
      </c>
      <c r="BC9" s="20">
        <f>AVERAGE(OFFSET(INDIRECT(ADDRESS(ROW(), COLUMN())), 0, -4, 1, 4))</f>
        <v/>
      </c>
      <c r="BD9" s="20">
        <f>_xlfn.STDEV.S(OFFSET(INDIRECT(ADDRESS(ROW(), COLUMN())), 0, -5, 1, 4))</f>
        <v/>
      </c>
      <c r="BE9" s="8">
        <f>_xlfn.STDEV.S(OFFSET(INDIRECT(ADDRESS(ROW(), COLUMN())), 0, -6, 1, 4)) / SQRT(4)</f>
        <v/>
      </c>
      <c r="BG9" s="7" t="inlineStr">
        <is>
          <t>fold5</t>
        </is>
      </c>
      <c r="BH9" s="27">
        <f>E68</f>
        <v/>
      </c>
      <c r="BI9" s="27">
        <f>F68</f>
        <v/>
      </c>
      <c r="BJ9" s="27">
        <f>G68</f>
        <v/>
      </c>
      <c r="BK9" s="27">
        <f>H68</f>
        <v/>
      </c>
      <c r="BL9" s="20">
        <f>AVERAGE(OFFSET(INDIRECT(ADDRESS(ROW(), COLUMN())), 0, -4, 1, 4))</f>
        <v/>
      </c>
      <c r="BM9" s="20">
        <f>_xlfn.STDEV.S(OFFSET(INDIRECT(ADDRESS(ROW(), COLUMN())), 0, -5, 1, 4))</f>
        <v/>
      </c>
      <c r="BN9" s="8">
        <f>_xlfn.STDEV.S(OFFSET(INDIRECT(ADDRESS(ROW(), COLUMN())), 0, -6, 1, 4)) / SQRT(4)</f>
        <v/>
      </c>
    </row>
    <row r="10">
      <c r="B10" s="45" t="n"/>
      <c r="D10" s="20" t="inlineStr">
        <is>
          <t>dataset3</t>
        </is>
      </c>
      <c r="E10" s="30" t="n">
        <v>0.915789</v>
      </c>
      <c r="F10" s="30" t="n">
        <v>0.873684</v>
      </c>
      <c r="G10" s="30" t="n">
        <v>0.938272</v>
      </c>
      <c r="H10" s="6" t="inlineStr">
        <is>
          <t>-</t>
        </is>
      </c>
      <c r="J10" s="7" t="inlineStr">
        <is>
          <t>fold6</t>
        </is>
      </c>
      <c r="K10" s="27">
        <f>E27</f>
        <v/>
      </c>
      <c r="L10" s="27">
        <f>F27</f>
        <v/>
      </c>
      <c r="M10" s="27">
        <f>G27</f>
        <v/>
      </c>
      <c r="N10" s="27">
        <f>H27</f>
        <v/>
      </c>
      <c r="O10" s="20">
        <f>AVERAGE(OFFSET(INDIRECT(ADDRESS(ROW(), COLUMN())), 0, -4, 1, 4))</f>
        <v/>
      </c>
      <c r="P10" s="20">
        <f>_xlfn.STDEV.S(OFFSET(INDIRECT(ADDRESS(ROW(), COLUMN())), 0, -5, 1, 4))</f>
        <v/>
      </c>
      <c r="Q10" s="8">
        <f>_xlfn.STDEV.S(OFFSET(INDIRECT(ADDRESS(ROW(), COLUMN())), 0, -6, 1, 4)) / SQRT(4)</f>
        <v/>
      </c>
      <c r="S10" s="7" t="inlineStr">
        <is>
          <t>Last-Init</t>
        </is>
      </c>
      <c r="T10" s="20">
        <f t="array" ref="T10">OFFSET(INDIRECT(ADDRESS(ROW(), COLUMN())), -2, 0) - OFFSET(INDIRECT(ADDRESS(ROW(), COLUMN())), -5, 0)</f>
        <v/>
      </c>
      <c r="U10" s="20">
        <f t="array" ref="U10">OFFSET(INDIRECT(ADDRESS(ROW(), COLUMN())), -2, 0) - OFFSET(INDIRECT(ADDRESS(ROW(), COLUMN())), -4, 0)</f>
        <v/>
      </c>
      <c r="V10" s="20">
        <f t="array" ref="V10">OFFSET(INDIRECT(ADDRESS(ROW(), COLUMN())), -2, 0) - OFFSET(INDIRECT(ADDRESS(ROW(), COLUMN())), -3, 0)</f>
        <v/>
      </c>
      <c r="W10" s="20">
        <f>AVERAGE(OFFSET(INDIRECT(ADDRESS(ROW(), COLUMN())), 0, -3, 1, 3))</f>
        <v/>
      </c>
      <c r="X10" s="20">
        <f>_xlfn.STDEV.S(OFFSET(INDIRECT(ADDRESS(ROW(), COLUMN())), 0, -4, 1, 3))</f>
        <v/>
      </c>
      <c r="Y10" s="20">
        <f>_xlfn.STDEV.S(OFFSET(INDIRECT(ADDRESS(ROW(), COLUMN())), 0, -5, 1, 3)) / SQRT(3)</f>
        <v/>
      </c>
      <c r="AB10" s="8" t="n"/>
      <c r="AD10" s="7" t="inlineStr">
        <is>
          <t>ratio</t>
        </is>
      </c>
      <c r="AE10" s="20">
        <f t="array" ref="AE10">OFFSET(INDIRECT(ADDRESS(ROW(), COLUMN())), -1, 0) / OFFSET(INDIRECT(ADDRESS(ROW(), COLUMN())), -2, 0)</f>
        <v/>
      </c>
      <c r="AF10" s="20">
        <f t="array" ref="AF10">OFFSET(INDIRECT(ADDRESS(ROW(), COLUMN())), -1, 0) / OFFSET(INDIRECT(ADDRESS(ROW(), COLUMN())), -2, 0)</f>
        <v/>
      </c>
      <c r="AG10" s="20">
        <f t="array" ref="AG10">OFFSET(INDIRECT(ADDRESS(ROW(), COLUMN())), -1, 0) / OFFSET(INDIRECT(ADDRESS(ROW(), COLUMN())), -2, 0)</f>
        <v/>
      </c>
      <c r="AH10" s="20">
        <f t="array" ref="AH10">OFFSET(INDIRECT(ADDRESS(ROW(), COLUMN())), -1, 0) / OFFSET(INDIRECT(ADDRESS(ROW(), COLUMN())), -2, 0)</f>
        <v/>
      </c>
      <c r="AI10" s="20">
        <f>AVERAGE(OFFSET(INDIRECT(ADDRESS(ROW(), COLUMN())), 0, -4, 1, 4))</f>
        <v/>
      </c>
      <c r="AJ10" s="20">
        <f>_xlfn.STDEV.S(OFFSET(INDIRECT(ADDRESS(ROW(), COLUMN())), 0, -5, 1, 4))</f>
        <v/>
      </c>
      <c r="AK10" s="20">
        <f>_xlfn.STDEV.S(OFFSET(INDIRECT(ADDRESS(ROW(), COLUMN())), 0, -6, 1, 4)) / SQRT(4)</f>
        <v/>
      </c>
      <c r="AM10" s="8" t="n"/>
      <c r="AO10" s="7" t="inlineStr">
        <is>
          <t>fold6</t>
        </is>
      </c>
      <c r="AP10" s="27">
        <f>E49</f>
        <v/>
      </c>
      <c r="AQ10" s="27">
        <f>F49</f>
        <v/>
      </c>
      <c r="AR10" s="27">
        <f>G49</f>
        <v/>
      </c>
      <c r="AS10" s="27">
        <f>H49</f>
        <v/>
      </c>
      <c r="AT10" s="20">
        <f>AVERAGE(OFFSET(INDIRECT(ADDRESS(ROW(), COLUMN())), 0, -4, 1, 4))</f>
        <v/>
      </c>
      <c r="AU10" s="20">
        <f>_xlfn.STDEV.S(OFFSET(INDIRECT(ADDRESS(ROW(), COLUMN())), 0, -5, 1, 4))</f>
        <v/>
      </c>
      <c r="AV10" s="8">
        <f>_xlfn.STDEV.S(OFFSET(INDIRECT(ADDRESS(ROW(), COLUMN())), 0, -6, 1, 4)) / SQRT(4)</f>
        <v/>
      </c>
      <c r="AX10" s="7" t="inlineStr">
        <is>
          <t>fold6</t>
        </is>
      </c>
      <c r="AY10" s="27">
        <f>E59</f>
        <v/>
      </c>
      <c r="AZ10" s="27">
        <f>F59</f>
        <v/>
      </c>
      <c r="BA10" s="27">
        <f>G59</f>
        <v/>
      </c>
      <c r="BB10" s="27">
        <f>H59</f>
        <v/>
      </c>
      <c r="BC10" s="20">
        <f>AVERAGE(OFFSET(INDIRECT(ADDRESS(ROW(), COLUMN())), 0, -4, 1, 4))</f>
        <v/>
      </c>
      <c r="BD10" s="20">
        <f>_xlfn.STDEV.S(OFFSET(INDIRECT(ADDRESS(ROW(), COLUMN())), 0, -5, 1, 4))</f>
        <v/>
      </c>
      <c r="BE10" s="8">
        <f>_xlfn.STDEV.S(OFFSET(INDIRECT(ADDRESS(ROW(), COLUMN())), 0, -6, 1, 4)) / SQRT(4)</f>
        <v/>
      </c>
      <c r="BG10" s="7" t="inlineStr">
        <is>
          <t>fold6</t>
        </is>
      </c>
      <c r="BH10" s="27">
        <f>E69</f>
        <v/>
      </c>
      <c r="BI10" s="27">
        <f>F69</f>
        <v/>
      </c>
      <c r="BJ10" s="27">
        <f>G69</f>
        <v/>
      </c>
      <c r="BK10" s="27">
        <f>H69</f>
        <v/>
      </c>
      <c r="BL10" s="20">
        <f>AVERAGE(OFFSET(INDIRECT(ADDRESS(ROW(), COLUMN())), 0, -4, 1, 4))</f>
        <v/>
      </c>
      <c r="BM10" s="20">
        <f>_xlfn.STDEV.S(OFFSET(INDIRECT(ADDRESS(ROW(), COLUMN())), 0, -5, 1, 4))</f>
        <v/>
      </c>
      <c r="BN10" s="8">
        <f>_xlfn.STDEV.S(OFFSET(INDIRECT(ADDRESS(ROW(), COLUMN())), 0, -6, 1, 4)) / SQRT(4)</f>
        <v/>
      </c>
    </row>
    <row r="11">
      <c r="B11" s="45" t="n"/>
      <c r="D11" s="20" t="inlineStr">
        <is>
          <t>dataset4</t>
        </is>
      </c>
      <c r="E11" s="30" t="n">
        <v>0.757895</v>
      </c>
      <c r="F11" s="30" t="n">
        <v>0.873684</v>
      </c>
      <c r="G11" s="30" t="n">
        <v>0.938272</v>
      </c>
      <c r="H11" s="5" t="n">
        <v>1</v>
      </c>
      <c r="J11" s="7" t="inlineStr">
        <is>
          <t>fold7</t>
        </is>
      </c>
      <c r="K11" s="27">
        <f>E31</f>
        <v/>
      </c>
      <c r="L11" s="27">
        <f>F31</f>
        <v/>
      </c>
      <c r="M11" s="27">
        <f>G31</f>
        <v/>
      </c>
      <c r="N11" s="27">
        <f>H31</f>
        <v/>
      </c>
      <c r="O11" s="20">
        <f>AVERAGE(OFFSET(INDIRECT(ADDRESS(ROW(), COLUMN())), 0, -4, 1, 4))</f>
        <v/>
      </c>
      <c r="P11" s="20">
        <f>_xlfn.STDEV.S(OFFSET(INDIRECT(ADDRESS(ROW(), COLUMN())), 0, -5, 1, 4))</f>
        <v/>
      </c>
      <c r="Q11" s="8">
        <f>_xlfn.STDEV.S(OFFSET(INDIRECT(ADDRESS(ROW(), COLUMN())), 0, -6, 1, 4)) / SQRT(4)</f>
        <v/>
      </c>
      <c r="S11" s="7" t="inlineStr">
        <is>
          <t>fold2</t>
        </is>
      </c>
      <c r="AB11" s="8" t="n"/>
      <c r="AD11" s="7" t="inlineStr">
        <is>
          <t>upper3</t>
        </is>
      </c>
      <c r="AE11" s="30" t="n">
        <v>0.897196</v>
      </c>
      <c r="AF11" s="30" t="n">
        <v>0.958333</v>
      </c>
      <c r="AG11" s="30" t="n">
        <v>0.907895</v>
      </c>
      <c r="AH11" s="30" t="n">
        <v>0.866667</v>
      </c>
      <c r="AM11" s="8" t="n"/>
      <c r="AO11" s="7" t="inlineStr">
        <is>
          <t>fold7</t>
        </is>
      </c>
      <c r="AP11" s="27">
        <f>E50</f>
        <v/>
      </c>
      <c r="AQ11" s="27">
        <f>F50</f>
        <v/>
      </c>
      <c r="AR11" s="27">
        <f>G50</f>
        <v/>
      </c>
      <c r="AS11" s="27">
        <f>H50</f>
        <v/>
      </c>
      <c r="AT11" s="20">
        <f>AVERAGE(OFFSET(INDIRECT(ADDRESS(ROW(), COLUMN())), 0, -4, 1, 4))</f>
        <v/>
      </c>
      <c r="AU11" s="20">
        <f>_xlfn.STDEV.S(OFFSET(INDIRECT(ADDRESS(ROW(), COLUMN())), 0, -5, 1, 4))</f>
        <v/>
      </c>
      <c r="AV11" s="8">
        <f>_xlfn.STDEV.S(OFFSET(INDIRECT(ADDRESS(ROW(), COLUMN())), 0, -6, 1, 4)) / SQRT(4)</f>
        <v/>
      </c>
      <c r="AX11" s="7" t="inlineStr">
        <is>
          <t>fold7</t>
        </is>
      </c>
      <c r="AY11" s="27">
        <f>E60</f>
        <v/>
      </c>
      <c r="AZ11" s="27">
        <f>F60</f>
        <v/>
      </c>
      <c r="BA11" s="27">
        <f>G60</f>
        <v/>
      </c>
      <c r="BB11" s="27">
        <f>H60</f>
        <v/>
      </c>
      <c r="BC11" s="20">
        <f>AVERAGE(OFFSET(INDIRECT(ADDRESS(ROW(), COLUMN())), 0, -4, 1, 4))</f>
        <v/>
      </c>
      <c r="BD11" s="20">
        <f>_xlfn.STDEV.S(OFFSET(INDIRECT(ADDRESS(ROW(), COLUMN())), 0, -5, 1, 4))</f>
        <v/>
      </c>
      <c r="BE11" s="8">
        <f>_xlfn.STDEV.S(OFFSET(INDIRECT(ADDRESS(ROW(), COLUMN())), 0, -6, 1, 4)) / SQRT(4)</f>
        <v/>
      </c>
      <c r="BG11" s="7" t="inlineStr">
        <is>
          <t>fold7</t>
        </is>
      </c>
      <c r="BH11" s="27">
        <f>E70</f>
        <v/>
      </c>
      <c r="BI11" s="27">
        <f>F70</f>
        <v/>
      </c>
      <c r="BJ11" s="27">
        <f>G70</f>
        <v/>
      </c>
      <c r="BK11" s="27">
        <f>H70</f>
        <v/>
      </c>
      <c r="BL11" s="20">
        <f>AVERAGE(OFFSET(INDIRECT(ADDRESS(ROW(), COLUMN())), 0, -4, 1, 4))</f>
        <v/>
      </c>
      <c r="BM11" s="20">
        <f>_xlfn.STDEV.S(OFFSET(INDIRECT(ADDRESS(ROW(), COLUMN())), 0, -5, 1, 4))</f>
        <v/>
      </c>
      <c r="BN11" s="8">
        <f>_xlfn.STDEV.S(OFFSET(INDIRECT(ADDRESS(ROW(), COLUMN())), 0, -6, 1, 4)) / SQRT(4)</f>
        <v/>
      </c>
    </row>
    <row r="12">
      <c r="B12" s="45" t="n"/>
      <c r="C12" s="20" t="inlineStr">
        <is>
          <t>fold3</t>
        </is>
      </c>
      <c r="D12" s="20" t="inlineStr">
        <is>
          <t>dataset1</t>
        </is>
      </c>
      <c r="E12" s="27" t="n">
        <v>0.915888</v>
      </c>
      <c r="F12" s="20" t="inlineStr">
        <is>
          <t>-</t>
        </is>
      </c>
      <c r="G12" s="20" t="inlineStr">
        <is>
          <t>-</t>
        </is>
      </c>
      <c r="H12" s="6" t="inlineStr">
        <is>
          <t>-</t>
        </is>
      </c>
      <c r="J12" s="7" t="inlineStr">
        <is>
          <t>fold8</t>
        </is>
      </c>
      <c r="K12" s="27">
        <f>E35</f>
        <v/>
      </c>
      <c r="L12" s="27">
        <f>F35</f>
        <v/>
      </c>
      <c r="M12" s="27">
        <f>G35</f>
        <v/>
      </c>
      <c r="N12" s="27">
        <f>H35</f>
        <v/>
      </c>
      <c r="O12" s="20">
        <f>AVERAGE(OFFSET(INDIRECT(ADDRESS(ROW(), COLUMN())), 0, -4, 1, 4))</f>
        <v/>
      </c>
      <c r="P12" s="20">
        <f>_xlfn.STDEV.S(OFFSET(INDIRECT(ADDRESS(ROW(), COLUMN())), 0, -5, 1, 4))</f>
        <v/>
      </c>
      <c r="Q12" s="8">
        <f>_xlfn.STDEV.S(OFFSET(INDIRECT(ADDRESS(ROW(), COLUMN())), 0, -6, 1, 4)) / SQRT(4)</f>
        <v/>
      </c>
      <c r="S12" s="7" t="inlineStr">
        <is>
          <t>dataset1</t>
        </is>
      </c>
      <c r="T12" s="30">
        <f>E8</f>
        <v/>
      </c>
      <c r="U12" s="20" t="inlineStr">
        <is>
          <t>-</t>
        </is>
      </c>
      <c r="V12" s="20" t="inlineStr">
        <is>
          <t>-</t>
        </is>
      </c>
      <c r="AB12" s="8" t="n"/>
      <c r="AD12" s="7" t="inlineStr">
        <is>
          <t>fold3</t>
        </is>
      </c>
      <c r="AE12" s="30">
        <f>E15</f>
        <v/>
      </c>
      <c r="AF12" s="30">
        <f>F15</f>
        <v/>
      </c>
      <c r="AG12" s="30">
        <f>G15</f>
        <v/>
      </c>
      <c r="AH12" s="30">
        <f>H15</f>
        <v/>
      </c>
      <c r="AM12" s="8" t="n"/>
      <c r="AO12" s="7" t="inlineStr">
        <is>
          <t>fold8</t>
        </is>
      </c>
      <c r="AP12" s="27">
        <f>E51</f>
        <v/>
      </c>
      <c r="AQ12" s="27">
        <f>F51</f>
        <v/>
      </c>
      <c r="AR12" s="27">
        <f>G51</f>
        <v/>
      </c>
      <c r="AS12" s="27">
        <f>H51</f>
        <v/>
      </c>
      <c r="AT12" s="20">
        <f>AVERAGE(OFFSET(INDIRECT(ADDRESS(ROW(), COLUMN())), 0, -4, 1, 4))</f>
        <v/>
      </c>
      <c r="AU12" s="20">
        <f>_xlfn.STDEV.S(OFFSET(INDIRECT(ADDRESS(ROW(), COLUMN())), 0, -5, 1, 4))</f>
        <v/>
      </c>
      <c r="AV12" s="8">
        <f>_xlfn.STDEV.S(OFFSET(INDIRECT(ADDRESS(ROW(), COLUMN())), 0, -6, 1, 4)) / SQRT(4)</f>
        <v/>
      </c>
      <c r="AX12" s="7" t="inlineStr">
        <is>
          <t>fold8</t>
        </is>
      </c>
      <c r="AY12" s="27">
        <f>E61</f>
        <v/>
      </c>
      <c r="AZ12" s="27">
        <f>F61</f>
        <v/>
      </c>
      <c r="BA12" s="27">
        <f>G61</f>
        <v/>
      </c>
      <c r="BB12" s="27">
        <f>H61</f>
        <v/>
      </c>
      <c r="BC12" s="20">
        <f>AVERAGE(OFFSET(INDIRECT(ADDRESS(ROW(), COLUMN())), 0, -4, 1, 4))</f>
        <v/>
      </c>
      <c r="BD12" s="20">
        <f>_xlfn.STDEV.S(OFFSET(INDIRECT(ADDRESS(ROW(), COLUMN())), 0, -5, 1, 4))</f>
        <v/>
      </c>
      <c r="BE12" s="8">
        <f>_xlfn.STDEV.S(OFFSET(INDIRECT(ADDRESS(ROW(), COLUMN())), 0, -6, 1, 4)) / SQRT(4)</f>
        <v/>
      </c>
      <c r="BG12" s="7" t="inlineStr">
        <is>
          <t>fold8</t>
        </is>
      </c>
      <c r="BH12" s="27">
        <f>E71</f>
        <v/>
      </c>
      <c r="BI12" s="27">
        <f>F71</f>
        <v/>
      </c>
      <c r="BJ12" s="27">
        <f>G71</f>
        <v/>
      </c>
      <c r="BK12" s="27">
        <f>H71</f>
        <v/>
      </c>
      <c r="BL12" s="20">
        <f>AVERAGE(OFFSET(INDIRECT(ADDRESS(ROW(), COLUMN())), 0, -4, 1, 4))</f>
        <v/>
      </c>
      <c r="BM12" s="20">
        <f>_xlfn.STDEV.S(OFFSET(INDIRECT(ADDRESS(ROW(), COLUMN())), 0, -5, 1, 4))</f>
        <v/>
      </c>
      <c r="BN12" s="8">
        <f>_xlfn.STDEV.S(OFFSET(INDIRECT(ADDRESS(ROW(), COLUMN())), 0, -6, 1, 4)) / SQRT(4)</f>
        <v/>
      </c>
    </row>
    <row r="13">
      <c r="B13" s="45" t="n"/>
      <c r="D13" s="20" t="inlineStr">
        <is>
          <t>dataset2</t>
        </is>
      </c>
      <c r="E13" s="30" t="n">
        <v>0.897196</v>
      </c>
      <c r="F13" s="30" t="n">
        <v>0.895833</v>
      </c>
      <c r="G13" s="20" t="inlineStr">
        <is>
          <t>-</t>
        </is>
      </c>
      <c r="H13" s="6" t="inlineStr">
        <is>
          <t>-</t>
        </is>
      </c>
      <c r="J13" s="7" t="inlineStr">
        <is>
          <t>fold9</t>
        </is>
      </c>
      <c r="K13" s="27">
        <f>E39</f>
        <v/>
      </c>
      <c r="L13" s="27">
        <f>F39</f>
        <v/>
      </c>
      <c r="M13" s="27">
        <f>G39</f>
        <v/>
      </c>
      <c r="N13" s="27">
        <f>H39</f>
        <v/>
      </c>
      <c r="O13" s="20">
        <f>AVERAGE(OFFSET(INDIRECT(ADDRESS(ROW(), COLUMN())), 0, -4, 1, 4))</f>
        <v/>
      </c>
      <c r="P13" s="20">
        <f>_xlfn.STDEV.S(OFFSET(INDIRECT(ADDRESS(ROW(), COLUMN())), 0, -5, 1, 4))</f>
        <v/>
      </c>
      <c r="Q13" s="8">
        <f>_xlfn.STDEV.S(OFFSET(INDIRECT(ADDRESS(ROW(), COLUMN())), 0, -6, 1, 4)) / SQRT(4)</f>
        <v/>
      </c>
      <c r="S13" s="7" t="inlineStr">
        <is>
          <t>dataset2</t>
        </is>
      </c>
      <c r="T13" s="30">
        <f>E9</f>
        <v/>
      </c>
      <c r="U13" s="30">
        <f>F9</f>
        <v/>
      </c>
      <c r="V13" s="20" t="inlineStr">
        <is>
          <t>-</t>
        </is>
      </c>
      <c r="AB13" s="8" t="n"/>
      <c r="AD13" s="7" t="inlineStr">
        <is>
          <t>ratio</t>
        </is>
      </c>
      <c r="AE13" s="20">
        <f t="array" ref="AE13">OFFSET(INDIRECT(ADDRESS(ROW(), COLUMN())), -1, 0) / OFFSET(INDIRECT(ADDRESS(ROW(), COLUMN())), -2, 0)</f>
        <v/>
      </c>
      <c r="AF13" s="20">
        <f t="array" ref="AF13">OFFSET(INDIRECT(ADDRESS(ROW(), COLUMN())), -1, 0) / OFFSET(INDIRECT(ADDRESS(ROW(), COLUMN())), -2, 0)</f>
        <v/>
      </c>
      <c r="AG13" s="20">
        <f t="array" ref="AG13">OFFSET(INDIRECT(ADDRESS(ROW(), COLUMN())), -1, 0) / OFFSET(INDIRECT(ADDRESS(ROW(), COLUMN())), -2, 0)</f>
        <v/>
      </c>
      <c r="AH13" s="20">
        <f t="array" ref="AH13">OFFSET(INDIRECT(ADDRESS(ROW(), COLUMN())), -1, 0) / OFFSET(INDIRECT(ADDRESS(ROW(), COLUMN())), -2, 0)</f>
        <v/>
      </c>
      <c r="AI13" s="20">
        <f>AVERAGE(OFFSET(INDIRECT(ADDRESS(ROW(), COLUMN())), 0, -4, 1, 4))</f>
        <v/>
      </c>
      <c r="AJ13" s="20">
        <f>_xlfn.STDEV.S(OFFSET(INDIRECT(ADDRESS(ROW(), COLUMN())), 0, -5, 1, 4))</f>
        <v/>
      </c>
      <c r="AK13" s="20">
        <f>_xlfn.STDEV.S(OFFSET(INDIRECT(ADDRESS(ROW(), COLUMN())), 0, -6, 1, 4)) / SQRT(4)</f>
        <v/>
      </c>
      <c r="AM13" s="8" t="n"/>
      <c r="AO13" s="7" t="inlineStr">
        <is>
          <t>fold9</t>
        </is>
      </c>
      <c r="AP13" s="27">
        <f>E52</f>
        <v/>
      </c>
      <c r="AQ13" s="27">
        <f>F52</f>
        <v/>
      </c>
      <c r="AR13" s="27">
        <f>G52</f>
        <v/>
      </c>
      <c r="AS13" s="27">
        <f>H52</f>
        <v/>
      </c>
      <c r="AT13" s="20">
        <f>AVERAGE(OFFSET(INDIRECT(ADDRESS(ROW(), COLUMN())), 0, -4, 1, 4))</f>
        <v/>
      </c>
      <c r="AU13" s="20">
        <f>_xlfn.STDEV.S(OFFSET(INDIRECT(ADDRESS(ROW(), COLUMN())), 0, -5, 1, 4))</f>
        <v/>
      </c>
      <c r="AV13" s="8">
        <f>_xlfn.STDEV.S(OFFSET(INDIRECT(ADDRESS(ROW(), COLUMN())), 0, -6, 1, 4)) / SQRT(4)</f>
        <v/>
      </c>
      <c r="AX13" s="7" t="inlineStr">
        <is>
          <t>fold9</t>
        </is>
      </c>
      <c r="AY13" s="27">
        <f>E62</f>
        <v/>
      </c>
      <c r="AZ13" s="27">
        <f>F62</f>
        <v/>
      </c>
      <c r="BA13" s="27">
        <f>G62</f>
        <v/>
      </c>
      <c r="BB13" s="27">
        <f>H62</f>
        <v/>
      </c>
      <c r="BC13" s="20">
        <f>AVERAGE(OFFSET(INDIRECT(ADDRESS(ROW(), COLUMN())), 0, -4, 1, 4))</f>
        <v/>
      </c>
      <c r="BD13" s="20">
        <f>_xlfn.STDEV.S(OFFSET(INDIRECT(ADDRESS(ROW(), COLUMN())), 0, -5, 1, 4))</f>
        <v/>
      </c>
      <c r="BE13" s="8">
        <f>_xlfn.STDEV.S(OFFSET(INDIRECT(ADDRESS(ROW(), COLUMN())), 0, -6, 1, 4)) / SQRT(4)</f>
        <v/>
      </c>
      <c r="BG13" s="7" t="inlineStr">
        <is>
          <t>fold9</t>
        </is>
      </c>
      <c r="BH13" s="27">
        <f>E72</f>
        <v/>
      </c>
      <c r="BI13" s="27">
        <f>F72</f>
        <v/>
      </c>
      <c r="BJ13" s="27">
        <f>G72</f>
        <v/>
      </c>
      <c r="BK13" s="27">
        <f>H72</f>
        <v/>
      </c>
      <c r="BL13" s="20">
        <f>AVERAGE(OFFSET(INDIRECT(ADDRESS(ROW(), COLUMN())), 0, -4, 1, 4))</f>
        <v/>
      </c>
      <c r="BM13" s="20">
        <f>_xlfn.STDEV.S(OFFSET(INDIRECT(ADDRESS(ROW(), COLUMN())), 0, -5, 1, 4))</f>
        <v/>
      </c>
      <c r="BN13" s="8">
        <f>_xlfn.STDEV.S(OFFSET(INDIRECT(ADDRESS(ROW(), COLUMN())), 0, -6, 1, 4)) / SQRT(4)</f>
        <v/>
      </c>
    </row>
    <row r="14">
      <c r="B14" s="45" t="n"/>
      <c r="D14" s="20" t="inlineStr">
        <is>
          <t>dataset3</t>
        </is>
      </c>
      <c r="E14" s="30" t="n">
        <v>0.88785</v>
      </c>
      <c r="F14" s="30" t="n">
        <v>0.875</v>
      </c>
      <c r="G14" s="30" t="n">
        <v>0.947368</v>
      </c>
      <c r="H14" s="6" t="inlineStr">
        <is>
          <t>-</t>
        </is>
      </c>
      <c r="J14" s="7" t="inlineStr">
        <is>
          <t>fold10</t>
        </is>
      </c>
      <c r="K14" s="27">
        <f>E43</f>
        <v/>
      </c>
      <c r="L14" s="27">
        <f>F43</f>
        <v/>
      </c>
      <c r="M14" s="27">
        <f>G43</f>
        <v/>
      </c>
      <c r="N14" s="27">
        <f>H43</f>
        <v/>
      </c>
      <c r="O14" s="20">
        <f>AVERAGE(OFFSET(INDIRECT(ADDRESS(ROW(), COLUMN())), 0, -4, 1, 4))</f>
        <v/>
      </c>
      <c r="P14" s="20">
        <f>_xlfn.STDEV.S(OFFSET(INDIRECT(ADDRESS(ROW(), COLUMN())), 0, -5, 1, 4))</f>
        <v/>
      </c>
      <c r="Q14" s="8">
        <f>_xlfn.STDEV.S(OFFSET(INDIRECT(ADDRESS(ROW(), COLUMN())), 0, -6, 1, 4)) / SQRT(4)</f>
        <v/>
      </c>
      <c r="S14" s="7" t="inlineStr">
        <is>
          <t>dataset3</t>
        </is>
      </c>
      <c r="T14" s="30">
        <f>E10</f>
        <v/>
      </c>
      <c r="U14" s="30">
        <f>F10</f>
        <v/>
      </c>
      <c r="V14" s="30">
        <f>G10</f>
        <v/>
      </c>
      <c r="AB14" s="8" t="n"/>
      <c r="AD14" s="7" t="inlineStr">
        <is>
          <t>upper4</t>
        </is>
      </c>
      <c r="AE14" s="30" t="n">
        <v>0.883929</v>
      </c>
      <c r="AF14" s="30" t="n">
        <v>0.904255</v>
      </c>
      <c r="AG14" s="30" t="n">
        <v>0.871795</v>
      </c>
      <c r="AH14" s="30" t="n">
        <v>1</v>
      </c>
      <c r="AM14" s="8" t="n"/>
      <c r="AO14" s="7" t="inlineStr">
        <is>
          <t>fold10</t>
        </is>
      </c>
      <c r="AP14" s="27">
        <f>E53</f>
        <v/>
      </c>
      <c r="AQ14" s="27">
        <f>F53</f>
        <v/>
      </c>
      <c r="AR14" s="27">
        <f>G53</f>
        <v/>
      </c>
      <c r="AS14" s="27">
        <f>H53</f>
        <v/>
      </c>
      <c r="AT14" s="20">
        <f>AVERAGE(OFFSET(INDIRECT(ADDRESS(ROW(), COLUMN())), 0, -4, 1, 4))</f>
        <v/>
      </c>
      <c r="AU14" s="20">
        <f>_xlfn.STDEV.S(OFFSET(INDIRECT(ADDRESS(ROW(), COLUMN())), 0, -5, 1, 4))</f>
        <v/>
      </c>
      <c r="AV14" s="8">
        <f>_xlfn.STDEV.S(OFFSET(INDIRECT(ADDRESS(ROW(), COLUMN())), 0, -6, 1, 4)) / SQRT(4)</f>
        <v/>
      </c>
      <c r="AX14" s="7" t="inlineStr">
        <is>
          <t>fold10</t>
        </is>
      </c>
      <c r="AY14" s="27">
        <f>E63</f>
        <v/>
      </c>
      <c r="AZ14" s="27">
        <f>F63</f>
        <v/>
      </c>
      <c r="BA14" s="27">
        <f>G63</f>
        <v/>
      </c>
      <c r="BB14" s="27">
        <f>H63</f>
        <v/>
      </c>
      <c r="BC14" s="20">
        <f>AVERAGE(OFFSET(INDIRECT(ADDRESS(ROW(), COLUMN())), 0, -4, 1, 4))</f>
        <v/>
      </c>
      <c r="BD14" s="20">
        <f>_xlfn.STDEV.S(OFFSET(INDIRECT(ADDRESS(ROW(), COLUMN())), 0, -5, 1, 4))</f>
        <v/>
      </c>
      <c r="BE14" s="8">
        <f>_xlfn.STDEV.S(OFFSET(INDIRECT(ADDRESS(ROW(), COLUMN())), 0, -6, 1, 4)) / SQRT(4)</f>
        <v/>
      </c>
      <c r="BG14" s="7" t="inlineStr">
        <is>
          <t>fold10</t>
        </is>
      </c>
      <c r="BH14" s="27">
        <f>E73</f>
        <v/>
      </c>
      <c r="BI14" s="27">
        <f>F73</f>
        <v/>
      </c>
      <c r="BJ14" s="27">
        <f>G73</f>
        <v/>
      </c>
      <c r="BK14" s="27">
        <f>H73</f>
        <v/>
      </c>
      <c r="BL14" s="20">
        <f>AVERAGE(OFFSET(INDIRECT(ADDRESS(ROW(), COLUMN())), 0, -4, 1, 4))</f>
        <v/>
      </c>
      <c r="BM14" s="20">
        <f>_xlfn.STDEV.S(OFFSET(INDIRECT(ADDRESS(ROW(), COLUMN())), 0, -5, 1, 4))</f>
        <v/>
      </c>
      <c r="BN14" s="8">
        <f>_xlfn.STDEV.S(OFFSET(INDIRECT(ADDRESS(ROW(), COLUMN())), 0, -6, 1, 4)) / SQRT(4)</f>
        <v/>
      </c>
    </row>
    <row r="15">
      <c r="B15" s="45" t="n"/>
      <c r="D15" s="20" t="inlineStr">
        <is>
          <t>dataset4</t>
        </is>
      </c>
      <c r="E15" s="30" t="n">
        <v>0.859813</v>
      </c>
      <c r="F15" s="30" t="n">
        <v>0.875</v>
      </c>
      <c r="G15" s="30" t="n">
        <v>0.947368</v>
      </c>
      <c r="H15" s="5" t="n">
        <v>1</v>
      </c>
      <c r="J15" s="7" t="inlineStr">
        <is>
          <t>average</t>
        </is>
      </c>
      <c r="K15" s="20">
        <f>AVERAGE(OFFSET(INDIRECT(ADDRESS(ROW(), COLUMN())), -10, 0, 10, 1))</f>
        <v/>
      </c>
      <c r="L15" s="20">
        <f>AVERAGE(OFFSET(INDIRECT(ADDRESS(ROW(), COLUMN())), -10, 0, 10, 1))</f>
        <v/>
      </c>
      <c r="M15" s="20">
        <f>AVERAGE(OFFSET(INDIRECT(ADDRESS(ROW(), COLUMN())), -10, 0, 10, 1))</f>
        <v/>
      </c>
      <c r="N15" s="20">
        <f>AVERAGE(OFFSET(INDIRECT(ADDRESS(ROW(), COLUMN())), -10, 0, 10, 1))</f>
        <v/>
      </c>
      <c r="O15" s="9">
        <f>ROUND(AVERAGE(OFFSET(INDIRECT(ADDRESS(ROW(), COLUMN())), -10, 0, 10, 1)), 3)</f>
        <v/>
      </c>
      <c r="Q15" s="8" t="n"/>
      <c r="S15" s="7" t="inlineStr">
        <is>
          <t>dataset4</t>
        </is>
      </c>
      <c r="T15" s="27">
        <f>E11</f>
        <v/>
      </c>
      <c r="U15" s="27">
        <f>F11</f>
        <v/>
      </c>
      <c r="V15" s="27">
        <f>G11</f>
        <v/>
      </c>
      <c r="AB15" s="8" t="n"/>
      <c r="AD15" s="7" t="inlineStr">
        <is>
          <t>fold4</t>
        </is>
      </c>
      <c r="AE15" s="30">
        <f>E19</f>
        <v/>
      </c>
      <c r="AF15" s="30">
        <f>F19</f>
        <v/>
      </c>
      <c r="AG15" s="30">
        <f>G19</f>
        <v/>
      </c>
      <c r="AH15" s="30">
        <f>H19</f>
        <v/>
      </c>
      <c r="AM15" s="8" t="n"/>
      <c r="AO15" s="7" t="inlineStr">
        <is>
          <t>average</t>
        </is>
      </c>
      <c r="AP15" s="20">
        <f>AVERAGE(OFFSET(INDIRECT(ADDRESS(ROW(), COLUMN())), -10, 0, 10, 1))</f>
        <v/>
      </c>
      <c r="AQ15" s="20">
        <f>AVERAGE(OFFSET(INDIRECT(ADDRESS(ROW(), COLUMN())), -10, 0, 10, 1))</f>
        <v/>
      </c>
      <c r="AR15" s="20">
        <f>AVERAGE(OFFSET(INDIRECT(ADDRESS(ROW(), COLUMN())), -10, 0, 10, 1))</f>
        <v/>
      </c>
      <c r="AS15" s="20">
        <f>AVERAGE(OFFSET(INDIRECT(ADDRESS(ROW(), COLUMN())), -10, 0, 10, 1))</f>
        <v/>
      </c>
      <c r="AT15" s="9">
        <f>ROUND(AVERAGE(OFFSET(INDIRECT(ADDRESS(ROW(), COLUMN())), -10, 0, 10, 1)), 3)</f>
        <v/>
      </c>
      <c r="AV15" s="8" t="n"/>
      <c r="AX15" s="7" t="inlineStr">
        <is>
          <t>average</t>
        </is>
      </c>
      <c r="AY15" s="20">
        <f>AVERAGE(OFFSET(INDIRECT(ADDRESS(ROW(), COLUMN())), -10, 0, 10, 1))</f>
        <v/>
      </c>
      <c r="AZ15" s="20">
        <f>AVERAGE(OFFSET(INDIRECT(ADDRESS(ROW(), COLUMN())), -10, 0, 10, 1))</f>
        <v/>
      </c>
      <c r="BA15" s="20">
        <f>AVERAGE(OFFSET(INDIRECT(ADDRESS(ROW(), COLUMN())), -10, 0, 10, 1))</f>
        <v/>
      </c>
      <c r="BB15" s="20">
        <f>AVERAGE(OFFSET(INDIRECT(ADDRESS(ROW(), COLUMN())), -10, 0, 10, 1))</f>
        <v/>
      </c>
      <c r="BC15" s="9">
        <f>ROUND(AVERAGE(OFFSET(INDIRECT(ADDRESS(ROW(), COLUMN())), -10, 0, 10, 1)), 3)</f>
        <v/>
      </c>
      <c r="BE15" s="8" t="n"/>
      <c r="BG15" s="7" t="inlineStr">
        <is>
          <t>average</t>
        </is>
      </c>
      <c r="BH15" s="20">
        <f>AVERAGE(OFFSET(INDIRECT(ADDRESS(ROW(), COLUMN())), -10, 0, 10, 1))</f>
        <v/>
      </c>
      <c r="BI15" s="20">
        <f>AVERAGE(OFFSET(INDIRECT(ADDRESS(ROW(), COLUMN())), -10, 0, 10, 1))</f>
        <v/>
      </c>
      <c r="BJ15" s="20">
        <f>AVERAGE(OFFSET(INDIRECT(ADDRESS(ROW(), COLUMN())), -10, 0, 10, 1))</f>
        <v/>
      </c>
      <c r="BK15" s="20">
        <f>AVERAGE(OFFSET(INDIRECT(ADDRESS(ROW(), COLUMN())), -10, 0, 10, 1))</f>
        <v/>
      </c>
      <c r="BL15" s="9">
        <f>ROUND(AVERAGE(OFFSET(INDIRECT(ADDRESS(ROW(), COLUMN())), -10, 0, 10, 1)), 3)</f>
        <v/>
      </c>
      <c r="BN15" s="8" t="n"/>
    </row>
    <row r="16">
      <c r="B16" s="45" t="n"/>
      <c r="C16" s="20" t="inlineStr">
        <is>
          <t>fold4</t>
        </is>
      </c>
      <c r="D16" s="20" t="inlineStr">
        <is>
          <t>dataset1</t>
        </is>
      </c>
      <c r="E16" s="27" t="n">
        <v>0.883929</v>
      </c>
      <c r="F16" s="20" t="inlineStr">
        <is>
          <t>-</t>
        </is>
      </c>
      <c r="G16" s="20" t="inlineStr">
        <is>
          <t>-</t>
        </is>
      </c>
      <c r="H16" s="6" t="inlineStr">
        <is>
          <t>-</t>
        </is>
      </c>
      <c r="J16" s="7" t="inlineStr">
        <is>
          <t>SD</t>
        </is>
      </c>
      <c r="K16" s="20">
        <f>_xlfn.STDEV.S(OFFSET(INDIRECT(ADDRESS(ROW(), COLUMN())), -11, 0, 10, 1))</f>
        <v/>
      </c>
      <c r="L16" s="20">
        <f>_xlfn.STDEV.S(OFFSET(INDIRECT(ADDRESS(ROW(), COLUMN())), -11, 0, 10, 1))</f>
        <v/>
      </c>
      <c r="M16" s="20">
        <f>_xlfn.STDEV.S(OFFSET(INDIRECT(ADDRESS(ROW(), COLUMN())), -11, 0, 10, 1))</f>
        <v/>
      </c>
      <c r="N16" s="20">
        <f>_xlfn.STDEV.S(OFFSET(INDIRECT(ADDRESS(ROW(), COLUMN())), -11, 0, 10, 1))</f>
        <v/>
      </c>
      <c r="O16" s="9">
        <f>ROUND(_xlfn.STDEV.S(OFFSET(INDIRECT(ADDRESS(ROW(), COLUMN())), -11, 0, 10, 1)), 3)</f>
        <v/>
      </c>
      <c r="Q16" s="8" t="n"/>
      <c r="S16" s="7" t="inlineStr">
        <is>
          <t>Max-Last</t>
        </is>
      </c>
      <c r="T16" s="20">
        <f t="array" ref="T16">MAX(OFFSET(INDIRECT(ADDRESS(ROW(), COLUMN())), -4, 0, 4, 1)) - OFFSET(INDIRECT(ADDRESS(ROW(), COLUMN())), -1, 0)</f>
        <v/>
      </c>
      <c r="U16" s="20">
        <f t="array" ref="U16">MAX(OFFSET(INDIRECT(ADDRESS(ROW(), COLUMN())), -3, 0, 3, 1)) - OFFSET(INDIRECT(ADDRESS(ROW(), COLUMN())), -1, 0)</f>
        <v/>
      </c>
      <c r="V16" s="20">
        <f t="array" ref="V16">MAX(OFFSET(INDIRECT(ADDRESS(ROW(), COLUMN())), -2, 0, 2, 1)) - OFFSET(INDIRECT(ADDRESS(ROW(), COLUMN())), -1, 0)</f>
        <v/>
      </c>
      <c r="W16" s="20">
        <f>AVERAGE(OFFSET(INDIRECT(ADDRESS(ROW(), COLUMN())), 0, -3, 1, 3))</f>
        <v/>
      </c>
      <c r="X16" s="20">
        <f>_xlfn.STDEV.S(OFFSET(INDIRECT(ADDRESS(ROW(), COLUMN())), 0, -4, 1, 3))</f>
        <v/>
      </c>
      <c r="Y16" s="20">
        <f>_xlfn.STDEV.S(OFFSET(INDIRECT(ADDRESS(ROW(), COLUMN())), 0, -5, 1, 3)) / SQRT(3)</f>
        <v/>
      </c>
      <c r="AB16" s="8" t="n"/>
      <c r="AD16" s="7" t="inlineStr">
        <is>
          <t>ratio</t>
        </is>
      </c>
      <c r="AE16" s="20">
        <f t="array" ref="AE16">OFFSET(INDIRECT(ADDRESS(ROW(), COLUMN())), -1, 0) / OFFSET(INDIRECT(ADDRESS(ROW(), COLUMN())), -2, 0)</f>
        <v/>
      </c>
      <c r="AF16" s="20">
        <f t="array" ref="AF16">OFFSET(INDIRECT(ADDRESS(ROW(), COLUMN())), -1, 0) / OFFSET(INDIRECT(ADDRESS(ROW(), COLUMN())), -2, 0)</f>
        <v/>
      </c>
      <c r="AG16" s="20">
        <f t="array" ref="AG16">OFFSET(INDIRECT(ADDRESS(ROW(), COLUMN())), -1, 0) / OFFSET(INDIRECT(ADDRESS(ROW(), COLUMN())), -2, 0)</f>
        <v/>
      </c>
      <c r="AH16" s="20">
        <f t="array" ref="AH16">OFFSET(INDIRECT(ADDRESS(ROW(), COLUMN())), -1, 0) / OFFSET(INDIRECT(ADDRESS(ROW(), COLUMN())), -2, 0)</f>
        <v/>
      </c>
      <c r="AI16" s="20">
        <f>AVERAGE(OFFSET(INDIRECT(ADDRESS(ROW(), COLUMN())), 0, -4, 1, 4))</f>
        <v/>
      </c>
      <c r="AJ16" s="20">
        <f>_xlfn.STDEV.S(OFFSET(INDIRECT(ADDRESS(ROW(), COLUMN())), 0, -5, 1, 4))</f>
        <v/>
      </c>
      <c r="AK16" s="20">
        <f>_xlfn.STDEV.S(OFFSET(INDIRECT(ADDRESS(ROW(), COLUMN())), 0, -6, 1, 4)) / SQRT(4)</f>
        <v/>
      </c>
      <c r="AM16" s="8" t="n"/>
      <c r="AO16" s="7" t="inlineStr">
        <is>
          <t>SD</t>
        </is>
      </c>
      <c r="AP16" s="20">
        <f>_xlfn.STDEV.S(OFFSET(INDIRECT(ADDRESS(ROW(), COLUMN())), -11, 0, 10, 1))</f>
        <v/>
      </c>
      <c r="AQ16" s="20">
        <f>_xlfn.STDEV.S(OFFSET(INDIRECT(ADDRESS(ROW(), COLUMN())), -11, 0, 10, 1))</f>
        <v/>
      </c>
      <c r="AR16" s="20">
        <f>_xlfn.STDEV.S(OFFSET(INDIRECT(ADDRESS(ROW(), COLUMN())), -11, 0, 10, 1))</f>
        <v/>
      </c>
      <c r="AS16" s="20">
        <f>_xlfn.STDEV.S(OFFSET(INDIRECT(ADDRESS(ROW(), COLUMN())), -11, 0, 10, 1))</f>
        <v/>
      </c>
      <c r="AT16" s="9">
        <f>ROUND(_xlfn.STDEV.S(OFFSET(INDIRECT(ADDRESS(ROW(), COLUMN())), -11, 0, 10, 1)), 3)</f>
        <v/>
      </c>
      <c r="AV16" s="8" t="n"/>
      <c r="AX16" s="7" t="inlineStr">
        <is>
          <t>SD</t>
        </is>
      </c>
      <c r="AY16" s="20">
        <f>_xlfn.STDEV.S(OFFSET(INDIRECT(ADDRESS(ROW(), COLUMN())), -11, 0, 10, 1))</f>
        <v/>
      </c>
      <c r="AZ16" s="20">
        <f>_xlfn.STDEV.S(OFFSET(INDIRECT(ADDRESS(ROW(), COLUMN())), -11, 0, 10, 1))</f>
        <v/>
      </c>
      <c r="BA16" s="20">
        <f>_xlfn.STDEV.S(OFFSET(INDIRECT(ADDRESS(ROW(), COLUMN())), -11, 0, 10, 1))</f>
        <v/>
      </c>
      <c r="BB16" s="20">
        <f>_xlfn.STDEV.S(OFFSET(INDIRECT(ADDRESS(ROW(), COLUMN())), -11, 0, 10, 1))</f>
        <v/>
      </c>
      <c r="BC16" s="9">
        <f>ROUND(_xlfn.STDEV.S(OFFSET(INDIRECT(ADDRESS(ROW(), COLUMN())), -11, 0, 10, 1)), 3)</f>
        <v/>
      </c>
      <c r="BE16" s="8" t="n"/>
      <c r="BG16" s="7" t="inlineStr">
        <is>
          <t>SD</t>
        </is>
      </c>
      <c r="BH16" s="20">
        <f>_xlfn.STDEV.S(OFFSET(INDIRECT(ADDRESS(ROW(), COLUMN())), -11, 0, 10, 1))</f>
        <v/>
      </c>
      <c r="BI16" s="20">
        <f>_xlfn.STDEV.S(OFFSET(INDIRECT(ADDRESS(ROW(), COLUMN())), -11, 0, 10, 1))</f>
        <v/>
      </c>
      <c r="BJ16" s="20">
        <f>_xlfn.STDEV.S(OFFSET(INDIRECT(ADDRESS(ROW(), COLUMN())), -11, 0, 10, 1))</f>
        <v/>
      </c>
      <c r="BK16" s="20">
        <f>_xlfn.STDEV.S(OFFSET(INDIRECT(ADDRESS(ROW(), COLUMN())), -11, 0, 10, 1))</f>
        <v/>
      </c>
      <c r="BL16" s="9">
        <f>ROUND(_xlfn.STDEV.S(OFFSET(INDIRECT(ADDRESS(ROW(), COLUMN())), -11, 0, 10, 1)), 3)</f>
        <v/>
      </c>
      <c r="BN16" s="8" t="n"/>
    </row>
    <row r="17">
      <c r="B17" s="45" t="n"/>
      <c r="D17" s="20" t="inlineStr">
        <is>
          <t>dataset2</t>
        </is>
      </c>
      <c r="E17" s="30" t="n">
        <v>0.883929</v>
      </c>
      <c r="F17" s="30" t="n">
        <v>0.893617</v>
      </c>
      <c r="G17" s="20" t="inlineStr">
        <is>
          <t>-</t>
        </is>
      </c>
      <c r="H17" s="6" t="inlineStr">
        <is>
          <t>-</t>
        </is>
      </c>
      <c r="J17" s="10" t="inlineStr">
        <is>
          <t>SE</t>
        </is>
      </c>
      <c r="K17" s="11">
        <f>_xlfn.STDEV.S(OFFSET(INDIRECT(ADDRESS(ROW(), COLUMN())), -12, 0, 10, 1)) / SQRT(10)</f>
        <v/>
      </c>
      <c r="L17" s="11">
        <f>_xlfn.STDEV.S(OFFSET(INDIRECT(ADDRESS(ROW(), COLUMN())), -12, 0, 10, 1)) / SQRT(10)</f>
        <v/>
      </c>
      <c r="M17" s="11">
        <f>_xlfn.STDEV.S(OFFSET(INDIRECT(ADDRESS(ROW(), COLUMN())), -12, 0, 10, 1)) / SQRT(10)</f>
        <v/>
      </c>
      <c r="N17" s="11">
        <f>_xlfn.STDEV.S(OFFSET(INDIRECT(ADDRESS(ROW(), COLUMN())), -12, 0, 10, 1)) / SQRT(10)</f>
        <v/>
      </c>
      <c r="O17" s="12">
        <f>ROUND(_xlfn.STDEV.S(OFFSET(INDIRECT(ADDRESS(ROW(), COLUMN())), -12, 0, 10, 1)) / SQRT(10), 3)</f>
        <v/>
      </c>
      <c r="P17" s="11" t="n"/>
      <c r="Q17" s="13" t="n"/>
      <c r="S17" s="7" t="inlineStr">
        <is>
          <t>Last-Init</t>
        </is>
      </c>
      <c r="T17" s="20">
        <f t="array" ref="T17">OFFSET(INDIRECT(ADDRESS(ROW(), COLUMN())), -2, 0) - OFFSET(INDIRECT(ADDRESS(ROW(), COLUMN())), -5, 0)</f>
        <v/>
      </c>
      <c r="U17" s="20">
        <f t="array" ref="U17">OFFSET(INDIRECT(ADDRESS(ROW(), COLUMN())), -2, 0) - OFFSET(INDIRECT(ADDRESS(ROW(), COLUMN())), -4, 0)</f>
        <v/>
      </c>
      <c r="V17" s="20">
        <f t="array" ref="V17">OFFSET(INDIRECT(ADDRESS(ROW(), COLUMN())), -2, 0) - OFFSET(INDIRECT(ADDRESS(ROW(), COLUMN())), -3, 0)</f>
        <v/>
      </c>
      <c r="W17" s="20">
        <f>AVERAGE(OFFSET(INDIRECT(ADDRESS(ROW(), COLUMN())), 0, -3, 1, 3))</f>
        <v/>
      </c>
      <c r="X17" s="20">
        <f>_xlfn.STDEV.S(OFFSET(INDIRECT(ADDRESS(ROW(), COLUMN())), 0, -4, 1, 3))</f>
        <v/>
      </c>
      <c r="Y17" s="20">
        <f>_xlfn.STDEV.S(OFFSET(INDIRECT(ADDRESS(ROW(), COLUMN())), 0, -5, 1, 3)) / SQRT(3)</f>
        <v/>
      </c>
      <c r="AB17" s="8" t="n"/>
      <c r="AD17" s="7" t="inlineStr">
        <is>
          <t>upper5</t>
        </is>
      </c>
      <c r="AE17" s="30" t="n">
        <v>0.895833</v>
      </c>
      <c r="AF17" s="30" t="n">
        <v>0.904255</v>
      </c>
      <c r="AG17" s="30" t="n">
        <v>0.986486</v>
      </c>
      <c r="AH17" s="30" t="n">
        <v>1</v>
      </c>
      <c r="AM17" s="8" t="n"/>
      <c r="AO17" s="10" t="inlineStr">
        <is>
          <t>SE</t>
        </is>
      </c>
      <c r="AP17" s="11">
        <f>_xlfn.STDEV.S(OFFSET(INDIRECT(ADDRESS(ROW(), COLUMN())), -12, 0, 10, 1)) / SQRT(10)</f>
        <v/>
      </c>
      <c r="AQ17" s="11">
        <f>_xlfn.STDEV.S(OFFSET(INDIRECT(ADDRESS(ROW(), COLUMN())), -12, 0, 10, 1)) / SQRT(10)</f>
        <v/>
      </c>
      <c r="AR17" s="11">
        <f>_xlfn.STDEV.S(OFFSET(INDIRECT(ADDRESS(ROW(), COLUMN())), -12, 0, 10, 1)) / SQRT(10)</f>
        <v/>
      </c>
      <c r="AS17" s="11">
        <f>_xlfn.STDEV.S(OFFSET(INDIRECT(ADDRESS(ROW(), COLUMN())), -12, 0, 10, 1)) / SQRT(10)</f>
        <v/>
      </c>
      <c r="AT17" s="12">
        <f>ROUND(_xlfn.STDEV.S(OFFSET(INDIRECT(ADDRESS(ROW(), COLUMN())), -12, 0, 10, 1)) / SQRT(10), 3)</f>
        <v/>
      </c>
      <c r="AU17" s="11" t="n"/>
      <c r="AV17" s="13" t="n"/>
      <c r="AX17" s="10" t="inlineStr">
        <is>
          <t>SE</t>
        </is>
      </c>
      <c r="AY17" s="11">
        <f>_xlfn.STDEV.S(OFFSET(INDIRECT(ADDRESS(ROW(), COLUMN())), -12, 0, 10, 1)) / SQRT(10)</f>
        <v/>
      </c>
      <c r="AZ17" s="11">
        <f>_xlfn.STDEV.S(OFFSET(INDIRECT(ADDRESS(ROW(), COLUMN())), -12, 0, 10, 1)) / SQRT(10)</f>
        <v/>
      </c>
      <c r="BA17" s="11">
        <f>_xlfn.STDEV.S(OFFSET(INDIRECT(ADDRESS(ROW(), COLUMN())), -12, 0, 10, 1)) / SQRT(10)</f>
        <v/>
      </c>
      <c r="BB17" s="11">
        <f>_xlfn.STDEV.S(OFFSET(INDIRECT(ADDRESS(ROW(), COLUMN())), -12, 0, 10, 1)) / SQRT(10)</f>
        <v/>
      </c>
      <c r="BC17" s="12">
        <f>ROUND(_xlfn.STDEV.S(OFFSET(INDIRECT(ADDRESS(ROW(), COLUMN())), -12, 0, 10, 1)) / SQRT(10), 3)</f>
        <v/>
      </c>
      <c r="BD17" s="11" t="n"/>
      <c r="BE17" s="13" t="n"/>
      <c r="BG17" s="10" t="inlineStr">
        <is>
          <t>SE</t>
        </is>
      </c>
      <c r="BH17" s="11">
        <f>_xlfn.STDEV.S(OFFSET(INDIRECT(ADDRESS(ROW(), COLUMN())), -12, 0, 10, 1)) / SQRT(10)</f>
        <v/>
      </c>
      <c r="BI17" s="11">
        <f>_xlfn.STDEV.S(OFFSET(INDIRECT(ADDRESS(ROW(), COLUMN())), -12, 0, 10, 1)) / SQRT(10)</f>
        <v/>
      </c>
      <c r="BJ17" s="11">
        <f>_xlfn.STDEV.S(OFFSET(INDIRECT(ADDRESS(ROW(), COLUMN())), -12, 0, 10, 1)) / SQRT(10)</f>
        <v/>
      </c>
      <c r="BK17" s="11">
        <f>_xlfn.STDEV.S(OFFSET(INDIRECT(ADDRESS(ROW(), COLUMN())), -12, 0, 10, 1)) / SQRT(10)</f>
        <v/>
      </c>
      <c r="BL17" s="12">
        <f>ROUND(_xlfn.STDEV.S(OFFSET(INDIRECT(ADDRESS(ROW(), COLUMN())), -12, 0, 10, 1)) / SQRT(10), 3)</f>
        <v/>
      </c>
      <c r="BM17" s="11" t="n"/>
      <c r="BN17" s="13" t="n"/>
    </row>
    <row r="18">
      <c r="B18" s="45" t="n"/>
      <c r="D18" s="20" t="inlineStr">
        <is>
          <t>dataset3</t>
        </is>
      </c>
      <c r="E18" s="30" t="n">
        <v>0.883929</v>
      </c>
      <c r="F18" s="30" t="n">
        <v>0.893617</v>
      </c>
      <c r="G18" s="30" t="n">
        <v>0.910256</v>
      </c>
      <c r="H18" s="6" t="inlineStr">
        <is>
          <t>-</t>
        </is>
      </c>
      <c r="S18" s="7" t="inlineStr">
        <is>
          <t>fold3</t>
        </is>
      </c>
      <c r="AB18" s="8" t="n"/>
      <c r="AD18" s="7" t="inlineStr">
        <is>
          <t>fold5</t>
        </is>
      </c>
      <c r="AE18" s="30">
        <f>E23</f>
        <v/>
      </c>
      <c r="AF18" s="30">
        <f>F23</f>
        <v/>
      </c>
      <c r="AG18" s="30">
        <f>G23</f>
        <v/>
      </c>
      <c r="AH18" s="30">
        <f>H23</f>
        <v/>
      </c>
      <c r="AM18" s="8" t="n"/>
    </row>
    <row r="19">
      <c r="B19" s="45" t="n"/>
      <c r="D19" s="20" t="inlineStr">
        <is>
          <t>dataset4</t>
        </is>
      </c>
      <c r="E19" s="30" t="n">
        <v>0.839286</v>
      </c>
      <c r="F19" s="30" t="n">
        <v>0.87234</v>
      </c>
      <c r="G19" s="30" t="n">
        <v>0.897436</v>
      </c>
      <c r="H19" s="5" t="n">
        <v>0.9375</v>
      </c>
      <c r="S19" s="7" t="inlineStr">
        <is>
          <t>dataset1</t>
        </is>
      </c>
      <c r="T19" s="30">
        <f>E12</f>
        <v/>
      </c>
      <c r="U19" s="20" t="inlineStr">
        <is>
          <t>-</t>
        </is>
      </c>
      <c r="V19" s="20" t="inlineStr">
        <is>
          <t>-</t>
        </is>
      </c>
      <c r="AB19" s="8" t="n"/>
      <c r="AD19" s="7" t="inlineStr">
        <is>
          <t>ratio</t>
        </is>
      </c>
      <c r="AE19" s="20">
        <f t="array" ref="AE19">OFFSET(INDIRECT(ADDRESS(ROW(), COLUMN())), -1, 0) / OFFSET(INDIRECT(ADDRESS(ROW(), COLUMN())), -2, 0)</f>
        <v/>
      </c>
      <c r="AF19" s="20">
        <f t="array" ref="AF19">OFFSET(INDIRECT(ADDRESS(ROW(), COLUMN())), -1, 0) / OFFSET(INDIRECT(ADDRESS(ROW(), COLUMN())), -2, 0)</f>
        <v/>
      </c>
      <c r="AG19" s="20">
        <f t="array" ref="AG19">OFFSET(INDIRECT(ADDRESS(ROW(), COLUMN())), -1, 0) / OFFSET(INDIRECT(ADDRESS(ROW(), COLUMN())), -2, 0)</f>
        <v/>
      </c>
      <c r="AH19" s="20">
        <f t="array" ref="AH19">OFFSET(INDIRECT(ADDRESS(ROW(), COLUMN())), -1, 0) / OFFSET(INDIRECT(ADDRESS(ROW(), COLUMN())), -2, 0)</f>
        <v/>
      </c>
      <c r="AI19" s="20">
        <f>AVERAGE(OFFSET(INDIRECT(ADDRESS(ROW(), COLUMN())), 0, -4, 1, 4))</f>
        <v/>
      </c>
      <c r="AJ19" s="20">
        <f>_xlfn.STDEV.S(OFFSET(INDIRECT(ADDRESS(ROW(), COLUMN())), 0, -5, 1, 4))</f>
        <v/>
      </c>
      <c r="AK19" s="20">
        <f>_xlfn.STDEV.S(OFFSET(INDIRECT(ADDRESS(ROW(), COLUMN())), 0, -6, 1, 4)) / SQRT(4)</f>
        <v/>
      </c>
      <c r="AM19" s="8" t="n"/>
    </row>
    <row r="20">
      <c r="B20" s="45" t="n"/>
      <c r="C20" s="20" t="inlineStr">
        <is>
          <t>fold5</t>
        </is>
      </c>
      <c r="D20" s="20" t="inlineStr">
        <is>
          <t>dataset1</t>
        </is>
      </c>
      <c r="E20" s="27" t="n">
        <v>0.885417</v>
      </c>
      <c r="F20" s="20" t="inlineStr">
        <is>
          <t>-</t>
        </is>
      </c>
      <c r="G20" s="20" t="inlineStr">
        <is>
          <t>-</t>
        </is>
      </c>
      <c r="H20" s="6" t="inlineStr">
        <is>
          <t>-</t>
        </is>
      </c>
      <c r="S20" s="7" t="inlineStr">
        <is>
          <t>dataset2</t>
        </is>
      </c>
      <c r="T20" s="30">
        <f>E13</f>
        <v/>
      </c>
      <c r="U20" s="30">
        <f>F13</f>
        <v/>
      </c>
      <c r="V20" s="20" t="inlineStr">
        <is>
          <t>-</t>
        </is>
      </c>
      <c r="AB20" s="8" t="n"/>
      <c r="AD20" s="7" t="inlineStr">
        <is>
          <t>upper6</t>
        </is>
      </c>
      <c r="AE20" s="30" t="n">
        <v>0.954545</v>
      </c>
      <c r="AF20" s="30" t="n">
        <v>0.918367</v>
      </c>
      <c r="AG20" s="30" t="n">
        <v>0.883117</v>
      </c>
      <c r="AH20" s="30" t="n">
        <v>0.875</v>
      </c>
      <c r="AM20" s="8" t="n"/>
    </row>
    <row r="21">
      <c r="B21" s="45" t="n"/>
      <c r="D21" s="20" t="inlineStr">
        <is>
          <t>dataset2</t>
        </is>
      </c>
      <c r="E21" s="30" t="n">
        <v>0.864583</v>
      </c>
      <c r="F21" s="30" t="n">
        <v>0.9361699999999999</v>
      </c>
      <c r="G21" s="20" t="inlineStr">
        <is>
          <t>-</t>
        </is>
      </c>
      <c r="H21" s="6" t="inlineStr">
        <is>
          <t>-</t>
        </is>
      </c>
      <c r="S21" s="7" t="inlineStr">
        <is>
          <t>dataset3</t>
        </is>
      </c>
      <c r="T21" s="30">
        <f>E14</f>
        <v/>
      </c>
      <c r="U21" s="30">
        <f>F14</f>
        <v/>
      </c>
      <c r="V21" s="30">
        <f>G14</f>
        <v/>
      </c>
      <c r="AB21" s="8" t="n"/>
      <c r="AD21" s="7" t="inlineStr">
        <is>
          <t>fold6</t>
        </is>
      </c>
      <c r="AE21" s="30">
        <f>E27</f>
        <v/>
      </c>
      <c r="AF21" s="30">
        <f>F27</f>
        <v/>
      </c>
      <c r="AG21" s="30">
        <f>G27</f>
        <v/>
      </c>
      <c r="AH21" s="30">
        <f>H27</f>
        <v/>
      </c>
      <c r="AM21" s="8" t="n"/>
    </row>
    <row r="22">
      <c r="B22" s="45" t="n"/>
      <c r="D22" s="20" t="inlineStr">
        <is>
          <t>dataset3</t>
        </is>
      </c>
      <c r="E22" s="30" t="n">
        <v>0.864583</v>
      </c>
      <c r="F22" s="30" t="n">
        <v>0.9361699999999999</v>
      </c>
      <c r="G22" s="30" t="n">
        <v>0.932432</v>
      </c>
      <c r="H22" s="6" t="inlineStr">
        <is>
          <t>-</t>
        </is>
      </c>
      <c r="S22" s="7" t="inlineStr">
        <is>
          <t>dataset4</t>
        </is>
      </c>
      <c r="T22" s="27">
        <f>E15</f>
        <v/>
      </c>
      <c r="U22" s="27">
        <f>F15</f>
        <v/>
      </c>
      <c r="V22" s="27">
        <f>G15</f>
        <v/>
      </c>
      <c r="AB22" s="8" t="n"/>
      <c r="AD22" s="7" t="inlineStr">
        <is>
          <t>ratio</t>
        </is>
      </c>
      <c r="AE22" s="20">
        <f t="array" ref="AE22">OFFSET(INDIRECT(ADDRESS(ROW(), COLUMN())), -1, 0) / OFFSET(INDIRECT(ADDRESS(ROW(), COLUMN())), -2, 0)</f>
        <v/>
      </c>
      <c r="AF22" s="20">
        <f t="array" ref="AF22">OFFSET(INDIRECT(ADDRESS(ROW(), COLUMN())), -1, 0) / OFFSET(INDIRECT(ADDRESS(ROW(), COLUMN())), -2, 0)</f>
        <v/>
      </c>
      <c r="AG22" s="20">
        <f t="array" ref="AG22">OFFSET(INDIRECT(ADDRESS(ROW(), COLUMN())), -1, 0) / OFFSET(INDIRECT(ADDRESS(ROW(), COLUMN())), -2, 0)</f>
        <v/>
      </c>
      <c r="AH22" s="20">
        <f t="array" ref="AH22">OFFSET(INDIRECT(ADDRESS(ROW(), COLUMN())), -1, 0) / OFFSET(INDIRECT(ADDRESS(ROW(), COLUMN())), -2, 0)</f>
        <v/>
      </c>
      <c r="AI22" s="20">
        <f>AVERAGE(OFFSET(INDIRECT(ADDRESS(ROW(), COLUMN())), 0, -4, 1, 4))</f>
        <v/>
      </c>
      <c r="AJ22" s="20">
        <f>_xlfn.STDEV.S(OFFSET(INDIRECT(ADDRESS(ROW(), COLUMN())), 0, -5, 1, 4))</f>
        <v/>
      </c>
      <c r="AK22" s="20">
        <f>_xlfn.STDEV.S(OFFSET(INDIRECT(ADDRESS(ROW(), COLUMN())), 0, -6, 1, 4)) / SQRT(4)</f>
        <v/>
      </c>
      <c r="AM22" s="8" t="n"/>
    </row>
    <row r="23">
      <c r="B23" s="45" t="n"/>
      <c r="D23" s="20" t="inlineStr">
        <is>
          <t>dataset4</t>
        </is>
      </c>
      <c r="E23" s="30" t="n">
        <v>0.8125</v>
      </c>
      <c r="F23" s="30" t="n">
        <v>0.925532</v>
      </c>
      <c r="G23" s="30" t="n">
        <v>0.932432</v>
      </c>
      <c r="H23" s="5" t="n">
        <v>0.933333</v>
      </c>
      <c r="S23" s="7" t="inlineStr">
        <is>
          <t>Max-Last</t>
        </is>
      </c>
      <c r="T23" s="20">
        <f t="array" ref="T23">MAX(OFFSET(INDIRECT(ADDRESS(ROW(), COLUMN())), -4, 0, 4, 1)) - OFFSET(INDIRECT(ADDRESS(ROW(), COLUMN())), -1, 0)</f>
        <v/>
      </c>
      <c r="U23" s="20">
        <f t="array" ref="U23">MAX(OFFSET(INDIRECT(ADDRESS(ROW(), COLUMN())), -3, 0, 3, 1)) - OFFSET(INDIRECT(ADDRESS(ROW(), COLUMN())), -1, 0)</f>
        <v/>
      </c>
      <c r="V23" s="20">
        <f t="array" ref="V23">MAX(OFFSET(INDIRECT(ADDRESS(ROW(), COLUMN())), -2, 0, 2, 1)) - OFFSET(INDIRECT(ADDRESS(ROW(), COLUMN())), -1, 0)</f>
        <v/>
      </c>
      <c r="W23" s="20">
        <f>AVERAGE(OFFSET(INDIRECT(ADDRESS(ROW(), COLUMN())), 0, -3, 1, 3))</f>
        <v/>
      </c>
      <c r="X23" s="20">
        <f>_xlfn.STDEV.S(OFFSET(INDIRECT(ADDRESS(ROW(), COLUMN())), 0, -4, 1, 3))</f>
        <v/>
      </c>
      <c r="Y23" s="20">
        <f>_xlfn.STDEV.S(OFFSET(INDIRECT(ADDRESS(ROW(), COLUMN())), 0, -5, 1, 3)) / SQRT(3)</f>
        <v/>
      </c>
      <c r="AB23" s="8" t="n"/>
      <c r="AD23" s="7" t="inlineStr">
        <is>
          <t>upper7</t>
        </is>
      </c>
      <c r="AE23" s="30" t="n">
        <v>0.8659790000000001</v>
      </c>
      <c r="AF23" s="30" t="n">
        <v>0.9375</v>
      </c>
      <c r="AG23" s="30" t="n">
        <v>0.893333</v>
      </c>
      <c r="AH23" s="30" t="n">
        <v>0.933333</v>
      </c>
      <c r="AM23" s="8" t="n"/>
    </row>
    <row r="24">
      <c r="B24" s="45" t="n"/>
      <c r="C24" s="20" t="inlineStr">
        <is>
          <t>fold6</t>
        </is>
      </c>
      <c r="D24" s="20" t="inlineStr">
        <is>
          <t>dataset1</t>
        </is>
      </c>
      <c r="E24" s="27" t="n">
        <v>0.954545</v>
      </c>
      <c r="F24" s="20" t="inlineStr">
        <is>
          <t>-</t>
        </is>
      </c>
      <c r="G24" s="20" t="inlineStr">
        <is>
          <t>-</t>
        </is>
      </c>
      <c r="H24" s="6" t="inlineStr">
        <is>
          <t>-</t>
        </is>
      </c>
      <c r="S24" s="7" t="inlineStr">
        <is>
          <t>Last-Init</t>
        </is>
      </c>
      <c r="T24" s="20">
        <f t="array" ref="T24">OFFSET(INDIRECT(ADDRESS(ROW(), COLUMN())), -2, 0) - OFFSET(INDIRECT(ADDRESS(ROW(), COLUMN())), -5, 0)</f>
        <v/>
      </c>
      <c r="U24" s="20">
        <f t="array" ref="U24">OFFSET(INDIRECT(ADDRESS(ROW(), COLUMN())), -2, 0) - OFFSET(INDIRECT(ADDRESS(ROW(), COLUMN())), -4, 0)</f>
        <v/>
      </c>
      <c r="V24" s="20">
        <f t="array" ref="V24">OFFSET(INDIRECT(ADDRESS(ROW(), COLUMN())), -2, 0) - OFFSET(INDIRECT(ADDRESS(ROW(), COLUMN())), -3, 0)</f>
        <v/>
      </c>
      <c r="W24" s="20">
        <f>AVERAGE(OFFSET(INDIRECT(ADDRESS(ROW(), COLUMN())), 0, -3, 1, 3))</f>
        <v/>
      </c>
      <c r="X24" s="20">
        <f>_xlfn.STDEV.S(OFFSET(INDIRECT(ADDRESS(ROW(), COLUMN())), 0, -4, 1, 3))</f>
        <v/>
      </c>
      <c r="Y24" s="20">
        <f>_xlfn.STDEV.S(OFFSET(INDIRECT(ADDRESS(ROW(), COLUMN())), 0, -5, 1, 3)) / SQRT(3)</f>
        <v/>
      </c>
      <c r="AB24" s="8" t="n"/>
      <c r="AD24" s="7" t="inlineStr">
        <is>
          <t>fold7</t>
        </is>
      </c>
      <c r="AE24" s="30">
        <f>E31</f>
        <v/>
      </c>
      <c r="AF24" s="30">
        <f>F31</f>
        <v/>
      </c>
      <c r="AG24" s="30">
        <f>G31</f>
        <v/>
      </c>
      <c r="AH24" s="30">
        <f>H31</f>
        <v/>
      </c>
      <c r="AM24" s="8" t="inlineStr">
        <is>
          <t>u-b ratio</t>
        </is>
      </c>
    </row>
    <row r="25">
      <c r="B25" s="45" t="n"/>
      <c r="D25" s="20" t="inlineStr">
        <is>
          <t>dataset2</t>
        </is>
      </c>
      <c r="E25" s="30" t="n">
        <v>0.954545</v>
      </c>
      <c r="F25" s="30" t="n">
        <v>0.928571</v>
      </c>
      <c r="G25" s="20" t="inlineStr">
        <is>
          <t>-</t>
        </is>
      </c>
      <c r="H25" s="6" t="inlineStr">
        <is>
          <t>-</t>
        </is>
      </c>
      <c r="S25" s="7" t="inlineStr">
        <is>
          <t>fold4</t>
        </is>
      </c>
      <c r="AB25" s="8" t="n"/>
      <c r="AD25" s="7" t="inlineStr">
        <is>
          <t>ratio</t>
        </is>
      </c>
      <c r="AE25" s="20">
        <f t="array" ref="AE25">OFFSET(INDIRECT(ADDRESS(ROW(), COLUMN())), -1, 0) / OFFSET(INDIRECT(ADDRESS(ROW(), COLUMN())), -2, 0)</f>
        <v/>
      </c>
      <c r="AF25" s="20">
        <f t="array" ref="AF25">OFFSET(INDIRECT(ADDRESS(ROW(), COLUMN())), -1, 0) / OFFSET(INDIRECT(ADDRESS(ROW(), COLUMN())), -2, 0)</f>
        <v/>
      </c>
      <c r="AG25" s="20">
        <f t="array" ref="AG25">OFFSET(INDIRECT(ADDRESS(ROW(), COLUMN())), -1, 0) / OFFSET(INDIRECT(ADDRESS(ROW(), COLUMN())), -2, 0)</f>
        <v/>
      </c>
      <c r="AH25" s="20">
        <f t="array" ref="AH25">OFFSET(INDIRECT(ADDRESS(ROW(), COLUMN())), -1, 0) / OFFSET(INDIRECT(ADDRESS(ROW(), COLUMN())), -2, 0)</f>
        <v/>
      </c>
      <c r="AI25" s="20">
        <f>AVERAGE(OFFSET(INDIRECT(ADDRESS(ROW(), COLUMN())), 0, -4, 1, 4))</f>
        <v/>
      </c>
      <c r="AJ25" s="20">
        <f>_xlfn.STDEV.S(OFFSET(INDIRECT(ADDRESS(ROW(), COLUMN())), 0, -5, 1, 4))</f>
        <v/>
      </c>
      <c r="AK25" s="20">
        <f>_xlfn.STDEV.S(OFFSET(INDIRECT(ADDRESS(ROW(), COLUMN())), 0, -6, 1, 4)) / SQRT(4)</f>
        <v/>
      </c>
      <c r="AM25" s="8">
        <f t="array" ref="AM25">OFFSET(INDIRECT(ADDRESS(ROW(), COLUMN())), -18, -4)</f>
        <v/>
      </c>
    </row>
    <row r="26">
      <c r="B26" s="45" t="n"/>
      <c r="D26" s="20" t="inlineStr">
        <is>
          <t>dataset3</t>
        </is>
      </c>
      <c r="E26" s="30" t="n">
        <v>0.943182</v>
      </c>
      <c r="F26" s="30" t="n">
        <v>0.928571</v>
      </c>
      <c r="G26" s="30" t="n">
        <v>0.883117</v>
      </c>
      <c r="H26" s="6" t="inlineStr">
        <is>
          <t>-</t>
        </is>
      </c>
      <c r="S26" s="7" t="inlineStr">
        <is>
          <t>dataset1</t>
        </is>
      </c>
      <c r="T26" s="30">
        <f>E16</f>
        <v/>
      </c>
      <c r="U26" s="20" t="inlineStr">
        <is>
          <t>-</t>
        </is>
      </c>
      <c r="V26" s="20" t="inlineStr">
        <is>
          <t>-</t>
        </is>
      </c>
      <c r="AB26" s="8" t="n"/>
      <c r="AD26" s="7" t="inlineStr">
        <is>
          <t>upper8</t>
        </is>
      </c>
      <c r="AE26" s="30" t="n">
        <v>0.8494620000000001</v>
      </c>
      <c r="AF26" s="30" t="n">
        <v>0.927083</v>
      </c>
      <c r="AG26" s="30" t="n">
        <v>0.947368</v>
      </c>
      <c r="AH26" s="30" t="n">
        <v>0.866667</v>
      </c>
      <c r="AM26" s="8">
        <f t="array" ref="AM26">OFFSET(INDIRECT(ADDRESS(ROW(), COLUMN())), -16, -4)</f>
        <v/>
      </c>
    </row>
    <row r="27">
      <c r="B27" s="45" t="n"/>
      <c r="D27" s="20" t="inlineStr">
        <is>
          <t>dataset4</t>
        </is>
      </c>
      <c r="E27" s="30" t="n">
        <v>0.8977270000000001</v>
      </c>
      <c r="F27" s="30" t="n">
        <v>0.928571</v>
      </c>
      <c r="G27" s="30" t="n">
        <v>0.883117</v>
      </c>
      <c r="H27" s="5" t="n">
        <v>0.875</v>
      </c>
      <c r="S27" s="7" t="inlineStr">
        <is>
          <t>dataset2</t>
        </is>
      </c>
      <c r="T27" s="30">
        <f>E17</f>
        <v/>
      </c>
      <c r="U27" s="30">
        <f>F17</f>
        <v/>
      </c>
      <c r="V27" s="20" t="inlineStr">
        <is>
          <t>-</t>
        </is>
      </c>
      <c r="AB27" s="8" t="n"/>
      <c r="AD27" s="7" t="inlineStr">
        <is>
          <t>fold8</t>
        </is>
      </c>
      <c r="AE27" s="30">
        <f>E35</f>
        <v/>
      </c>
      <c r="AF27" s="30">
        <f>F35</f>
        <v/>
      </c>
      <c r="AG27" s="30">
        <f>G35</f>
        <v/>
      </c>
      <c r="AH27" s="30">
        <f>H35</f>
        <v/>
      </c>
      <c r="AM27" s="8">
        <f t="array" ref="AM27">OFFSET(INDIRECT(ADDRESS(ROW(), COLUMN())), -14, -4)</f>
        <v/>
      </c>
    </row>
    <row r="28">
      <c r="B28" s="45" t="n"/>
      <c r="C28" s="20" t="inlineStr">
        <is>
          <t>fold7</t>
        </is>
      </c>
      <c r="D28" s="20" t="inlineStr">
        <is>
          <t>dataset1</t>
        </is>
      </c>
      <c r="E28" s="27" t="n">
        <v>0.907216</v>
      </c>
      <c r="F28" s="20" t="inlineStr">
        <is>
          <t>-</t>
        </is>
      </c>
      <c r="G28" s="20" t="inlineStr">
        <is>
          <t>-</t>
        </is>
      </c>
      <c r="H28" s="6" t="inlineStr">
        <is>
          <t>-</t>
        </is>
      </c>
      <c r="S28" s="7" t="inlineStr">
        <is>
          <t>dataset3</t>
        </is>
      </c>
      <c r="T28" s="30">
        <f>E18</f>
        <v/>
      </c>
      <c r="U28" s="30">
        <f>F18</f>
        <v/>
      </c>
      <c r="V28" s="30">
        <f>G18</f>
        <v/>
      </c>
      <c r="AB28" s="8" t="n"/>
      <c r="AD28" s="7" t="inlineStr">
        <is>
          <t>ratio</t>
        </is>
      </c>
      <c r="AE28" s="20">
        <f t="array" ref="AE28">OFFSET(INDIRECT(ADDRESS(ROW(), COLUMN())), -1, 0) / OFFSET(INDIRECT(ADDRESS(ROW(), COLUMN())), -2, 0)</f>
        <v/>
      </c>
      <c r="AF28" s="20">
        <f t="array" ref="AF28">OFFSET(INDIRECT(ADDRESS(ROW(), COLUMN())), -1, 0) / OFFSET(INDIRECT(ADDRESS(ROW(), COLUMN())), -2, 0)</f>
        <v/>
      </c>
      <c r="AG28" s="20">
        <f t="array" ref="AG28">OFFSET(INDIRECT(ADDRESS(ROW(), COLUMN())), -1, 0) / OFFSET(INDIRECT(ADDRESS(ROW(), COLUMN())), -2, 0)</f>
        <v/>
      </c>
      <c r="AH28" s="20">
        <f t="array" ref="AH28">OFFSET(INDIRECT(ADDRESS(ROW(), COLUMN())), -1, 0) / OFFSET(INDIRECT(ADDRESS(ROW(), COLUMN())), -2, 0)</f>
        <v/>
      </c>
      <c r="AI28" s="20">
        <f>AVERAGE(OFFSET(INDIRECT(ADDRESS(ROW(), COLUMN())), 0, -4, 1, 4))</f>
        <v/>
      </c>
      <c r="AJ28" s="20">
        <f>_xlfn.STDEV.S(OFFSET(INDIRECT(ADDRESS(ROW(), COLUMN())), 0, -5, 1, 4))</f>
        <v/>
      </c>
      <c r="AK28" s="20">
        <f>_xlfn.STDEV.S(OFFSET(INDIRECT(ADDRESS(ROW(), COLUMN())), 0, -6, 1, 4)) / SQRT(4)</f>
        <v/>
      </c>
      <c r="AM28" s="8">
        <f t="array" ref="AM28">OFFSET(INDIRECT(ADDRESS(ROW(), COLUMN())), -12, -4)</f>
        <v/>
      </c>
    </row>
    <row r="29">
      <c r="B29" s="45" t="n"/>
      <c r="D29" s="20" t="inlineStr">
        <is>
          <t>dataset2</t>
        </is>
      </c>
      <c r="E29" s="30" t="n">
        <v>0.907216</v>
      </c>
      <c r="F29" s="30" t="n">
        <v>0.9375</v>
      </c>
      <c r="G29" s="20" t="inlineStr">
        <is>
          <t>-</t>
        </is>
      </c>
      <c r="H29" s="6" t="inlineStr">
        <is>
          <t>-</t>
        </is>
      </c>
      <c r="S29" s="7" t="inlineStr">
        <is>
          <t>dataset4</t>
        </is>
      </c>
      <c r="T29" s="27">
        <f>E19</f>
        <v/>
      </c>
      <c r="U29" s="27">
        <f>F19</f>
        <v/>
      </c>
      <c r="V29" s="27">
        <f>G19</f>
        <v/>
      </c>
      <c r="AB29" s="8" t="n"/>
      <c r="AD29" s="7" t="inlineStr">
        <is>
          <t>upper9</t>
        </is>
      </c>
      <c r="AE29" s="30" t="n">
        <v>0.869565</v>
      </c>
      <c r="AF29" s="30" t="n">
        <v>0.868687</v>
      </c>
      <c r="AG29" s="30" t="n">
        <v>0.864198</v>
      </c>
      <c r="AH29" s="30" t="n">
        <v>0.857143</v>
      </c>
      <c r="AM29" s="8">
        <f t="array" ref="AM29">OFFSET(INDIRECT(ADDRESS(ROW(), COLUMN())), -10, -4)</f>
        <v/>
      </c>
    </row>
    <row r="30">
      <c r="B30" s="45" t="n"/>
      <c r="D30" s="20" t="inlineStr">
        <is>
          <t>dataset3</t>
        </is>
      </c>
      <c r="E30" s="30" t="n">
        <v>0.907216</v>
      </c>
      <c r="F30" s="30" t="n">
        <v>0.9375</v>
      </c>
      <c r="G30" s="30" t="n">
        <v>0.973333</v>
      </c>
      <c r="H30" s="6" t="inlineStr">
        <is>
          <t>-</t>
        </is>
      </c>
      <c r="S30" s="7" t="inlineStr">
        <is>
          <t>Max-Last</t>
        </is>
      </c>
      <c r="T30" s="20">
        <f t="array" ref="T30">MAX(OFFSET(INDIRECT(ADDRESS(ROW(), COLUMN())), -4, 0, 4, 1)) - OFFSET(INDIRECT(ADDRESS(ROW(), COLUMN())), -1, 0)</f>
        <v/>
      </c>
      <c r="U30" s="20">
        <f t="array" ref="U30">MAX(OFFSET(INDIRECT(ADDRESS(ROW(), COLUMN())), -3, 0, 3, 1)) - OFFSET(INDIRECT(ADDRESS(ROW(), COLUMN())), -1, 0)</f>
        <v/>
      </c>
      <c r="V30" s="20">
        <f t="array" ref="V30">MAX(OFFSET(INDIRECT(ADDRESS(ROW(), COLUMN())), -2, 0, 2, 1)) - OFFSET(INDIRECT(ADDRESS(ROW(), COLUMN())), -1, 0)</f>
        <v/>
      </c>
      <c r="W30" s="20">
        <f>AVERAGE(OFFSET(INDIRECT(ADDRESS(ROW(), COLUMN())), 0, -3, 1, 3))</f>
        <v/>
      </c>
      <c r="X30" s="20">
        <f>_xlfn.STDEV.S(OFFSET(INDIRECT(ADDRESS(ROW(), COLUMN())), 0, -4, 1, 3))</f>
        <v/>
      </c>
      <c r="Y30" s="20">
        <f>_xlfn.STDEV.S(OFFSET(INDIRECT(ADDRESS(ROW(), COLUMN())), 0, -5, 1, 3)) / SQRT(3)</f>
        <v/>
      </c>
      <c r="AB30" s="8" t="n"/>
      <c r="AD30" s="7" t="inlineStr">
        <is>
          <t>fold9</t>
        </is>
      </c>
      <c r="AE30" s="30">
        <f>E39</f>
        <v/>
      </c>
      <c r="AF30" s="30">
        <f>F39</f>
        <v/>
      </c>
      <c r="AG30" s="30">
        <f>G39</f>
        <v/>
      </c>
      <c r="AH30" s="30">
        <f>H39</f>
        <v/>
      </c>
      <c r="AM30" s="8">
        <f t="array" ref="AM30">OFFSET(INDIRECT(ADDRESS(ROW(), COLUMN())), -8, -4)</f>
        <v/>
      </c>
    </row>
    <row r="31">
      <c r="B31" s="45" t="n"/>
      <c r="D31" s="20" t="inlineStr">
        <is>
          <t>dataset4</t>
        </is>
      </c>
      <c r="E31" s="30" t="n">
        <v>0.845361</v>
      </c>
      <c r="F31" s="30" t="n">
        <v>0.916667</v>
      </c>
      <c r="G31" s="30" t="n">
        <v>0.973333</v>
      </c>
      <c r="H31" s="5" t="n">
        <v>1</v>
      </c>
      <c r="S31" s="7" t="inlineStr">
        <is>
          <t>Last-Init</t>
        </is>
      </c>
      <c r="T31" s="20">
        <f t="array" ref="T31">OFFSET(INDIRECT(ADDRESS(ROW(), COLUMN())), -2, 0) - OFFSET(INDIRECT(ADDRESS(ROW(), COLUMN())), -5, 0)</f>
        <v/>
      </c>
      <c r="U31" s="20">
        <f t="array" ref="U31">OFFSET(INDIRECT(ADDRESS(ROW(), COLUMN())), -2, 0) - OFFSET(INDIRECT(ADDRESS(ROW(), COLUMN())), -4, 0)</f>
        <v/>
      </c>
      <c r="V31" s="20">
        <f t="array" ref="V31">OFFSET(INDIRECT(ADDRESS(ROW(), COLUMN())), -2, 0) - OFFSET(INDIRECT(ADDRESS(ROW(), COLUMN())), -3, 0)</f>
        <v/>
      </c>
      <c r="W31" s="20">
        <f>AVERAGE(OFFSET(INDIRECT(ADDRESS(ROW(), COLUMN())), 0, -3, 1, 3))</f>
        <v/>
      </c>
      <c r="X31" s="20">
        <f>_xlfn.STDEV.S(OFFSET(INDIRECT(ADDRESS(ROW(), COLUMN())), 0, -4, 1, 3))</f>
        <v/>
      </c>
      <c r="Y31" s="20">
        <f>_xlfn.STDEV.S(OFFSET(INDIRECT(ADDRESS(ROW(), COLUMN())), 0, -5, 1, 3)) / SQRT(3)</f>
        <v/>
      </c>
      <c r="AB31" s="8" t="n"/>
      <c r="AD31" s="7" t="inlineStr">
        <is>
          <t>ratio</t>
        </is>
      </c>
      <c r="AE31" s="20">
        <f t="array" ref="AE31">OFFSET(INDIRECT(ADDRESS(ROW(), COLUMN())), -1, 0) / OFFSET(INDIRECT(ADDRESS(ROW(), COLUMN())), -2, 0)</f>
        <v/>
      </c>
      <c r="AF31" s="20">
        <f t="array" ref="AF31">OFFSET(INDIRECT(ADDRESS(ROW(), COLUMN())), -1, 0) / OFFSET(INDIRECT(ADDRESS(ROW(), COLUMN())), -2, 0)</f>
        <v/>
      </c>
      <c r="AG31" s="20">
        <f t="array" ref="AG31">OFFSET(INDIRECT(ADDRESS(ROW(), COLUMN())), -1, 0) / OFFSET(INDIRECT(ADDRESS(ROW(), COLUMN())), -2, 0)</f>
        <v/>
      </c>
      <c r="AH31" s="20">
        <f t="array" ref="AH31">OFFSET(INDIRECT(ADDRESS(ROW(), COLUMN())), -1, 0) / OFFSET(INDIRECT(ADDRESS(ROW(), COLUMN())), -2, 0)</f>
        <v/>
      </c>
      <c r="AI31" s="20">
        <f>AVERAGE(OFFSET(INDIRECT(ADDRESS(ROW(), COLUMN())), 0, -4, 1, 4))</f>
        <v/>
      </c>
      <c r="AJ31" s="20">
        <f>_xlfn.STDEV.S(OFFSET(INDIRECT(ADDRESS(ROW(), COLUMN())), 0, -5, 1, 4))</f>
        <v/>
      </c>
      <c r="AK31" s="20">
        <f>_xlfn.STDEV.S(OFFSET(INDIRECT(ADDRESS(ROW(), COLUMN())), 0, -6, 1, 4)) / SQRT(4)</f>
        <v/>
      </c>
      <c r="AM31" s="8">
        <f t="array" ref="AM31">OFFSET(INDIRECT(ADDRESS(ROW(), COLUMN())), -6, -4)</f>
        <v/>
      </c>
    </row>
    <row r="32">
      <c r="B32" s="45" t="n"/>
      <c r="C32" s="20" t="inlineStr">
        <is>
          <t>fold8</t>
        </is>
      </c>
      <c r="D32" s="20" t="inlineStr">
        <is>
          <t>dataset1</t>
        </is>
      </c>
      <c r="E32" s="27" t="n">
        <v>0.83871</v>
      </c>
      <c r="F32" s="20" t="inlineStr">
        <is>
          <t>-</t>
        </is>
      </c>
      <c r="G32" s="20" t="inlineStr">
        <is>
          <t>-</t>
        </is>
      </c>
      <c r="H32" s="6" t="inlineStr">
        <is>
          <t>-</t>
        </is>
      </c>
      <c r="S32" s="7" t="inlineStr">
        <is>
          <t>fold5</t>
        </is>
      </c>
      <c r="AB32" s="8" t="n"/>
      <c r="AD32" s="7" t="inlineStr">
        <is>
          <t>upper10</t>
        </is>
      </c>
      <c r="AE32" s="30" t="n">
        <v>0.844444</v>
      </c>
      <c r="AF32" s="30" t="n">
        <v>0.868132</v>
      </c>
      <c r="AG32" s="30" t="n">
        <v>0.918919</v>
      </c>
      <c r="AH32" s="30" t="n">
        <v>0.928571</v>
      </c>
      <c r="AM32" s="8">
        <f t="array" ref="AM32">OFFSET(INDIRECT(ADDRESS(ROW(), COLUMN())), -4, -4)</f>
        <v/>
      </c>
    </row>
    <row r="33">
      <c r="B33" s="45" t="n"/>
      <c r="D33" s="20" t="inlineStr">
        <is>
          <t>dataset2</t>
        </is>
      </c>
      <c r="E33" s="30" t="n">
        <v>0.817204</v>
      </c>
      <c r="F33" s="30" t="n">
        <v>0.885417</v>
      </c>
      <c r="G33" s="20" t="inlineStr">
        <is>
          <t>-</t>
        </is>
      </c>
      <c r="H33" s="6" t="inlineStr">
        <is>
          <t>-</t>
        </is>
      </c>
      <c r="S33" s="7" t="inlineStr">
        <is>
          <t>dataset1</t>
        </is>
      </c>
      <c r="T33" s="30">
        <f>E20</f>
        <v/>
      </c>
      <c r="U33" s="20" t="inlineStr">
        <is>
          <t>-</t>
        </is>
      </c>
      <c r="V33" s="20" t="inlineStr">
        <is>
          <t>-</t>
        </is>
      </c>
      <c r="AB33" s="8" t="n"/>
      <c r="AD33" s="7" t="inlineStr">
        <is>
          <t>fold10</t>
        </is>
      </c>
      <c r="AE33" s="30">
        <f>E43</f>
        <v/>
      </c>
      <c r="AF33" s="30">
        <f>F43</f>
        <v/>
      </c>
      <c r="AG33" s="30">
        <f>G43</f>
        <v/>
      </c>
      <c r="AH33" s="30">
        <f>H43</f>
        <v/>
      </c>
      <c r="AM33" s="8">
        <f t="array" ref="AM33">OFFSET(INDIRECT(ADDRESS(ROW(), COLUMN())), -2, -4)</f>
        <v/>
      </c>
    </row>
    <row r="34">
      <c r="B34" s="45" t="n"/>
      <c r="D34" s="20" t="inlineStr">
        <is>
          <t>dataset3</t>
        </is>
      </c>
      <c r="E34" s="30" t="n">
        <v>0.817204</v>
      </c>
      <c r="F34" s="30" t="n">
        <v>0.885417</v>
      </c>
      <c r="G34" s="30" t="n">
        <v>0.881579</v>
      </c>
      <c r="H34" s="6" t="inlineStr">
        <is>
          <t>-</t>
        </is>
      </c>
      <c r="S34" s="7" t="inlineStr">
        <is>
          <t>dataset2</t>
        </is>
      </c>
      <c r="T34" s="30">
        <f>E21</f>
        <v/>
      </c>
      <c r="U34" s="30">
        <f>F21</f>
        <v/>
      </c>
      <c r="V34" s="20" t="inlineStr">
        <is>
          <t>-</t>
        </is>
      </c>
      <c r="AB34" s="8" t="n"/>
      <c r="AD34" s="7" t="inlineStr">
        <is>
          <t>ratio</t>
        </is>
      </c>
      <c r="AE34" s="20">
        <f t="array" ref="AE34">OFFSET(INDIRECT(ADDRESS(ROW(), COLUMN())), -1, 0) / OFFSET(INDIRECT(ADDRESS(ROW(), COLUMN())), -2, 0)</f>
        <v/>
      </c>
      <c r="AF34" s="20">
        <f t="array" ref="AF34">OFFSET(INDIRECT(ADDRESS(ROW(), COLUMN())), -1, 0) / OFFSET(INDIRECT(ADDRESS(ROW(), COLUMN())), -2, 0)</f>
        <v/>
      </c>
      <c r="AG34" s="20">
        <f t="array" ref="AG34">OFFSET(INDIRECT(ADDRESS(ROW(), COLUMN())), -1, 0) / OFFSET(INDIRECT(ADDRESS(ROW(), COLUMN())), -2, 0)</f>
        <v/>
      </c>
      <c r="AH34" s="20">
        <f t="array" ref="AH34">OFFSET(INDIRECT(ADDRESS(ROW(), COLUMN())), -1, 0) / OFFSET(INDIRECT(ADDRESS(ROW(), COLUMN())), -2, 0)</f>
        <v/>
      </c>
      <c r="AI34" s="20">
        <f>AVERAGE(OFFSET(INDIRECT(ADDRESS(ROW(), COLUMN())), 0, -4, 1, 4))</f>
        <v/>
      </c>
      <c r="AJ34" s="20">
        <f>_xlfn.STDEV.S(OFFSET(INDIRECT(ADDRESS(ROW(), COLUMN())), 0, -5, 1, 4))</f>
        <v/>
      </c>
      <c r="AK34" s="20">
        <f>_xlfn.STDEV.S(OFFSET(INDIRECT(ADDRESS(ROW(), COLUMN())), 0, -6, 1, 4)) / SQRT(4)</f>
        <v/>
      </c>
      <c r="AM34" s="8">
        <f t="array" ref="AM34">OFFSET(INDIRECT(ADDRESS(ROW(), COLUMN())), 0, -4)</f>
        <v/>
      </c>
    </row>
    <row r="35">
      <c r="B35" s="45" t="n"/>
      <c r="D35" s="20" t="inlineStr">
        <is>
          <t>dataset4</t>
        </is>
      </c>
      <c r="E35" s="30" t="n">
        <v>0.731183</v>
      </c>
      <c r="F35" s="30" t="n">
        <v>0.885417</v>
      </c>
      <c r="G35" s="30" t="n">
        <v>0.881579</v>
      </c>
      <c r="H35" s="5" t="n">
        <v>0.866667</v>
      </c>
      <c r="S35" s="7" t="inlineStr">
        <is>
          <t>dataset3</t>
        </is>
      </c>
      <c r="T35" s="30">
        <f>E22</f>
        <v/>
      </c>
      <c r="U35" s="30">
        <f>F22</f>
        <v/>
      </c>
      <c r="V35" s="30">
        <f>G22</f>
        <v/>
      </c>
      <c r="AB35" s="8" t="n"/>
      <c r="AD35" s="7" t="inlineStr">
        <is>
          <t>average</t>
        </is>
      </c>
      <c r="AM35" s="16">
        <f>ROUND(AVERAGE(OFFSET(INDIRECT(ADDRESS(ROW(), COLUMN())), -10, 0, 10, 1)), 3)</f>
        <v/>
      </c>
    </row>
    <row r="36">
      <c r="B36" s="45" t="n"/>
      <c r="C36" s="20" t="inlineStr">
        <is>
          <t>fold9</t>
        </is>
      </c>
      <c r="D36" s="20" t="inlineStr">
        <is>
          <t>dataset1</t>
        </is>
      </c>
      <c r="E36" s="27" t="n">
        <v>0.891304</v>
      </c>
      <c r="F36" s="20" t="inlineStr">
        <is>
          <t>-</t>
        </is>
      </c>
      <c r="G36" s="20" t="inlineStr">
        <is>
          <t>-</t>
        </is>
      </c>
      <c r="H36" s="6" t="inlineStr">
        <is>
          <t>-</t>
        </is>
      </c>
      <c r="S36" s="7" t="inlineStr">
        <is>
          <t>dataset4</t>
        </is>
      </c>
      <c r="T36" s="27">
        <f>E23</f>
        <v/>
      </c>
      <c r="U36" s="27">
        <f>F23</f>
        <v/>
      </c>
      <c r="V36" s="27">
        <f>G23</f>
        <v/>
      </c>
      <c r="AB36" s="8" t="n"/>
      <c r="AD36" s="7" t="inlineStr">
        <is>
          <t>SD</t>
        </is>
      </c>
      <c r="AM36" s="16">
        <f>ROUND(_xlfn.STDEV.S(OFFSET(INDIRECT(ADDRESS(ROW(), COLUMN())), -11, 0, 10, 1)), 3)</f>
        <v/>
      </c>
    </row>
    <row r="37">
      <c r="B37" s="45" t="n"/>
      <c r="D37" s="20" t="inlineStr">
        <is>
          <t>dataset2</t>
        </is>
      </c>
      <c r="E37" s="30" t="n">
        <v>0.869565</v>
      </c>
      <c r="F37" s="30" t="n">
        <v>0.818182</v>
      </c>
      <c r="G37" s="20" t="inlineStr">
        <is>
          <t>-</t>
        </is>
      </c>
      <c r="H37" s="6" t="inlineStr">
        <is>
          <t>-</t>
        </is>
      </c>
      <c r="S37" s="7" t="inlineStr">
        <is>
          <t>Max-Last</t>
        </is>
      </c>
      <c r="T37" s="20">
        <f t="array" ref="T37">MAX(OFFSET(INDIRECT(ADDRESS(ROW(), COLUMN())), -4, 0, 4, 1)) - OFFSET(INDIRECT(ADDRESS(ROW(), COLUMN())), -1, 0)</f>
        <v/>
      </c>
      <c r="U37" s="20">
        <f t="array" ref="U37">MAX(OFFSET(INDIRECT(ADDRESS(ROW(), COLUMN())), -3, 0, 3, 1)) - OFFSET(INDIRECT(ADDRESS(ROW(), COLUMN())), -1, 0)</f>
        <v/>
      </c>
      <c r="V37" s="20">
        <f t="array" ref="V37">MAX(OFFSET(INDIRECT(ADDRESS(ROW(), COLUMN())), -2, 0, 2, 1)) - OFFSET(INDIRECT(ADDRESS(ROW(), COLUMN())), -1, 0)</f>
        <v/>
      </c>
      <c r="W37" s="20">
        <f>AVERAGE(OFFSET(INDIRECT(ADDRESS(ROW(), COLUMN())), 0, -3, 1, 3))</f>
        <v/>
      </c>
      <c r="X37" s="20">
        <f>_xlfn.STDEV.S(OFFSET(INDIRECT(ADDRESS(ROW(), COLUMN())), 0, -4, 1, 3))</f>
        <v/>
      </c>
      <c r="Y37" s="20">
        <f>_xlfn.STDEV.S(OFFSET(INDIRECT(ADDRESS(ROW(), COLUMN())), 0, -5, 1, 3)) / SQRT(3)</f>
        <v/>
      </c>
      <c r="AB37" s="8" t="n"/>
      <c r="AD37" s="10" t="inlineStr">
        <is>
          <t>SE</t>
        </is>
      </c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7">
        <f>ROUND(_xlfn.STDEV.S(OFFSET(INDIRECT(ADDRESS(ROW(), COLUMN())), -12, 0, 10, 1)) / SQRT(10), 3)</f>
        <v/>
      </c>
    </row>
    <row r="38">
      <c r="B38" s="45" t="n"/>
      <c r="D38" s="20" t="inlineStr">
        <is>
          <t>dataset3</t>
        </is>
      </c>
      <c r="E38" s="30" t="n">
        <v>0.869565</v>
      </c>
      <c r="F38" s="30" t="n">
        <v>0.818182</v>
      </c>
      <c r="G38" s="30" t="n">
        <v>0.9135799999999999</v>
      </c>
      <c r="H38" s="6" t="inlineStr">
        <is>
          <t>-</t>
        </is>
      </c>
      <c r="S38" s="7" t="inlineStr">
        <is>
          <t>Last-Init</t>
        </is>
      </c>
      <c r="T38" s="20">
        <f t="array" ref="T38">OFFSET(INDIRECT(ADDRESS(ROW(), COLUMN())), -2, 0) - OFFSET(INDIRECT(ADDRESS(ROW(), COLUMN())), -5, 0)</f>
        <v/>
      </c>
      <c r="U38" s="20">
        <f t="array" ref="U38">OFFSET(INDIRECT(ADDRESS(ROW(), COLUMN())), -2, 0) - OFFSET(INDIRECT(ADDRESS(ROW(), COLUMN())), -4, 0)</f>
        <v/>
      </c>
      <c r="V38" s="20">
        <f t="array" ref="V38">OFFSET(INDIRECT(ADDRESS(ROW(), COLUMN())), -2, 0) - OFFSET(INDIRECT(ADDRESS(ROW(), COLUMN())), -3, 0)</f>
        <v/>
      </c>
      <c r="W38" s="20">
        <f>AVERAGE(OFFSET(INDIRECT(ADDRESS(ROW(), COLUMN())), 0, -3, 1, 3))</f>
        <v/>
      </c>
      <c r="X38" s="20">
        <f>_xlfn.STDEV.S(OFFSET(INDIRECT(ADDRESS(ROW(), COLUMN())), 0, -4, 1, 3))</f>
        <v/>
      </c>
      <c r="Y38" s="20">
        <f>_xlfn.STDEV.S(OFFSET(INDIRECT(ADDRESS(ROW(), COLUMN())), 0, -5, 1, 3)) / SQRT(3)</f>
        <v/>
      </c>
      <c r="AB38" s="8" t="n"/>
    </row>
    <row r="39">
      <c r="B39" s="45" t="n"/>
      <c r="D39" s="20" t="inlineStr">
        <is>
          <t>dataset4</t>
        </is>
      </c>
      <c r="E39" s="30" t="n">
        <v>0.673913</v>
      </c>
      <c r="F39" s="30" t="n">
        <v>0.818182</v>
      </c>
      <c r="G39" s="30" t="n">
        <v>0.9135799999999999</v>
      </c>
      <c r="H39" s="5" t="n">
        <v>0.928571</v>
      </c>
      <c r="S39" s="7" t="inlineStr">
        <is>
          <t>fold6</t>
        </is>
      </c>
      <c r="AB39" s="8" t="n"/>
    </row>
    <row r="40">
      <c r="B40" s="45" t="n"/>
      <c r="C40" s="20" t="inlineStr">
        <is>
          <t>fold10</t>
        </is>
      </c>
      <c r="D40" s="20" t="inlineStr">
        <is>
          <t>dataset1</t>
        </is>
      </c>
      <c r="E40" s="27" t="n">
        <v>0.866667</v>
      </c>
      <c r="F40" s="20" t="inlineStr">
        <is>
          <t>-</t>
        </is>
      </c>
      <c r="G40" s="20" t="inlineStr">
        <is>
          <t>-</t>
        </is>
      </c>
      <c r="H40" s="6" t="inlineStr">
        <is>
          <t>-</t>
        </is>
      </c>
      <c r="S40" s="7" t="inlineStr">
        <is>
          <t>dataset1</t>
        </is>
      </c>
      <c r="T40" s="30">
        <f>E24</f>
        <v/>
      </c>
      <c r="U40" s="20" t="inlineStr">
        <is>
          <t>-</t>
        </is>
      </c>
      <c r="V40" s="20" t="inlineStr">
        <is>
          <t>-</t>
        </is>
      </c>
      <c r="AB40" s="8" t="n"/>
    </row>
    <row r="41">
      <c r="B41" s="45" t="n"/>
      <c r="D41" s="20" t="inlineStr">
        <is>
          <t>dataset2</t>
        </is>
      </c>
      <c r="E41" s="30" t="n">
        <v>0.822222</v>
      </c>
      <c r="F41" s="30" t="n">
        <v>0.868132</v>
      </c>
      <c r="G41" s="20" t="inlineStr">
        <is>
          <t>-</t>
        </is>
      </c>
      <c r="H41" s="6" t="inlineStr">
        <is>
          <t>-</t>
        </is>
      </c>
      <c r="S41" s="7" t="inlineStr">
        <is>
          <t>dataset2</t>
        </is>
      </c>
      <c r="T41" s="30">
        <f>E25</f>
        <v/>
      </c>
      <c r="U41" s="30">
        <f>F25</f>
        <v/>
      </c>
      <c r="V41" s="20" t="inlineStr">
        <is>
          <t>-</t>
        </is>
      </c>
      <c r="AB41" s="8" t="n"/>
    </row>
    <row r="42">
      <c r="B42" s="45" t="n"/>
      <c r="D42" s="20" t="inlineStr">
        <is>
          <t>dataset3</t>
        </is>
      </c>
      <c r="E42" s="30" t="n">
        <v>0.8</v>
      </c>
      <c r="F42" s="30" t="n">
        <v>0.868132</v>
      </c>
      <c r="G42" s="30" t="n">
        <v>0.932432</v>
      </c>
      <c r="H42" s="6" t="inlineStr">
        <is>
          <t>-</t>
        </is>
      </c>
      <c r="S42" s="7" t="inlineStr">
        <is>
          <t>dataset3</t>
        </is>
      </c>
      <c r="T42" s="30">
        <f>E26</f>
        <v/>
      </c>
      <c r="U42" s="30">
        <f>F26</f>
        <v/>
      </c>
      <c r="V42" s="30">
        <f>G26</f>
        <v/>
      </c>
      <c r="AB42" s="8" t="n"/>
    </row>
    <row r="43">
      <c r="B43" s="45" t="n"/>
      <c r="D43" s="20" t="inlineStr">
        <is>
          <t>dataset4</t>
        </is>
      </c>
      <c r="E43" s="30" t="n">
        <v>0.711111</v>
      </c>
      <c r="F43" s="30" t="n">
        <v>0.857143</v>
      </c>
      <c r="G43" s="30" t="n">
        <v>0.932432</v>
      </c>
      <c r="H43" s="5" t="n">
        <v>1</v>
      </c>
      <c r="S43" s="7" t="inlineStr">
        <is>
          <t>dataset4</t>
        </is>
      </c>
      <c r="T43" s="27">
        <f>E27</f>
        <v/>
      </c>
      <c r="U43" s="27">
        <f>F27</f>
        <v/>
      </c>
      <c r="V43" s="27">
        <f>G27</f>
        <v/>
      </c>
      <c r="AB43" s="8" t="n"/>
    </row>
    <row r="44">
      <c r="B44" s="18" t="inlineStr">
        <is>
          <t>TEST Masked ACC</t>
        </is>
      </c>
      <c r="C44" s="20" t="inlineStr">
        <is>
          <t>fold1</t>
        </is>
      </c>
      <c r="E44" s="30" t="n">
        <v>0.905263</v>
      </c>
      <c r="F44" s="30" t="n">
        <v>0.892473</v>
      </c>
      <c r="G44" s="30" t="n">
        <v>0.934211</v>
      </c>
      <c r="H44" s="5" t="n">
        <v>0.866667</v>
      </c>
      <c r="S44" s="7" t="inlineStr">
        <is>
          <t>Max-Last</t>
        </is>
      </c>
      <c r="T44" s="20">
        <f t="array" ref="T44">MAX(OFFSET(INDIRECT(ADDRESS(ROW(), COLUMN())), -4, 0, 4, 1)) - OFFSET(INDIRECT(ADDRESS(ROW(), COLUMN())), -1, 0)</f>
        <v/>
      </c>
      <c r="U44" s="20">
        <f t="array" ref="U44">MAX(OFFSET(INDIRECT(ADDRESS(ROW(), COLUMN())), -3, 0, 3, 1)) - OFFSET(INDIRECT(ADDRESS(ROW(), COLUMN())), -1, 0)</f>
        <v/>
      </c>
      <c r="V44" s="20">
        <f t="array" ref="V44">MAX(OFFSET(INDIRECT(ADDRESS(ROW(), COLUMN())), -2, 0, 2, 1)) - OFFSET(INDIRECT(ADDRESS(ROW(), COLUMN())), -1, 0)</f>
        <v/>
      </c>
      <c r="W44" s="20">
        <f>AVERAGE(OFFSET(INDIRECT(ADDRESS(ROW(), COLUMN())), 0, -3, 1, 3))</f>
        <v/>
      </c>
      <c r="X44" s="20">
        <f>_xlfn.STDEV.S(OFFSET(INDIRECT(ADDRESS(ROW(), COLUMN())), 0, -4, 1, 3))</f>
        <v/>
      </c>
      <c r="Y44" s="20">
        <f>_xlfn.STDEV.S(OFFSET(INDIRECT(ADDRESS(ROW(), COLUMN())), 0, -5, 1, 3)) / SQRT(3)</f>
        <v/>
      </c>
      <c r="AB44" s="8" t="n"/>
    </row>
    <row r="45">
      <c r="B45" s="45" t="n"/>
      <c r="C45" s="20" t="inlineStr">
        <is>
          <t>fold2</t>
        </is>
      </c>
      <c r="E45" s="30" t="n">
        <v>0.936842</v>
      </c>
      <c r="F45" s="30" t="n">
        <v>0.894737</v>
      </c>
      <c r="G45" s="30" t="n">
        <v>0.950617</v>
      </c>
      <c r="H45" s="5" t="n">
        <v>1</v>
      </c>
      <c r="S45" s="7" t="inlineStr">
        <is>
          <t>Last-Init</t>
        </is>
      </c>
      <c r="T45" s="20">
        <f t="array" ref="T45">OFFSET(INDIRECT(ADDRESS(ROW(), COLUMN())), -2, 0) - OFFSET(INDIRECT(ADDRESS(ROW(), COLUMN())), -5, 0)</f>
        <v/>
      </c>
      <c r="U45" s="20">
        <f t="array" ref="U45">OFFSET(INDIRECT(ADDRESS(ROW(), COLUMN())), -2, 0) - OFFSET(INDIRECT(ADDRESS(ROW(), COLUMN())), -4, 0)</f>
        <v/>
      </c>
      <c r="V45" s="20">
        <f t="array" ref="V45">OFFSET(INDIRECT(ADDRESS(ROW(), COLUMN())), -2, 0) - OFFSET(INDIRECT(ADDRESS(ROW(), COLUMN())), -3, 0)</f>
        <v/>
      </c>
      <c r="W45" s="20">
        <f>AVERAGE(OFFSET(INDIRECT(ADDRESS(ROW(), COLUMN())), 0, -3, 1, 3))</f>
        <v/>
      </c>
      <c r="X45" s="20">
        <f>_xlfn.STDEV.S(OFFSET(INDIRECT(ADDRESS(ROW(), COLUMN())), 0, -4, 1, 3))</f>
        <v/>
      </c>
      <c r="Y45" s="20">
        <f>_xlfn.STDEV.S(OFFSET(INDIRECT(ADDRESS(ROW(), COLUMN())), 0, -5, 1, 3)) / SQRT(3)</f>
        <v/>
      </c>
      <c r="AB45" s="8" t="n"/>
    </row>
    <row r="46">
      <c r="B46" s="45" t="n"/>
      <c r="C46" s="20" t="inlineStr">
        <is>
          <t>fold3</t>
        </is>
      </c>
      <c r="E46" s="30" t="n">
        <v>0.915888</v>
      </c>
      <c r="F46" s="30" t="n">
        <v>0.9375</v>
      </c>
      <c r="G46" s="30" t="n">
        <v>0.960526</v>
      </c>
      <c r="H46" s="5" t="n">
        <v>1</v>
      </c>
      <c r="S46" s="7" t="inlineStr">
        <is>
          <t>fold7</t>
        </is>
      </c>
      <c r="AB46" s="8" t="n"/>
    </row>
    <row r="47">
      <c r="B47" s="45" t="n"/>
      <c r="C47" s="20" t="inlineStr">
        <is>
          <t>fold4</t>
        </is>
      </c>
      <c r="E47" s="30" t="n">
        <v>0.883929</v>
      </c>
      <c r="F47" s="30" t="n">
        <v>0.946809</v>
      </c>
      <c r="G47" s="30" t="n">
        <v>0.923077</v>
      </c>
      <c r="H47" s="5" t="n">
        <v>0.9375</v>
      </c>
      <c r="S47" s="7" t="inlineStr">
        <is>
          <t>dataset1</t>
        </is>
      </c>
      <c r="T47" s="30">
        <f>E28</f>
        <v/>
      </c>
      <c r="U47" s="20" t="inlineStr">
        <is>
          <t>-</t>
        </is>
      </c>
      <c r="V47" s="20" t="inlineStr">
        <is>
          <t>-</t>
        </is>
      </c>
      <c r="AB47" s="8" t="n"/>
    </row>
    <row r="48">
      <c r="B48" s="45" t="n"/>
      <c r="C48" s="20" t="inlineStr">
        <is>
          <t>fold5</t>
        </is>
      </c>
      <c r="E48" s="30" t="n">
        <v>0.895833</v>
      </c>
      <c r="F48" s="30" t="n">
        <v>0.946809</v>
      </c>
      <c r="G48" s="30" t="n">
        <v>0.972973</v>
      </c>
      <c r="H48" s="5" t="n">
        <v>0.933333</v>
      </c>
      <c r="S48" s="7" t="inlineStr">
        <is>
          <t>dataset2</t>
        </is>
      </c>
      <c r="T48" s="30">
        <f>E29</f>
        <v/>
      </c>
      <c r="U48" s="30">
        <f>F29</f>
        <v/>
      </c>
      <c r="V48" s="20" t="inlineStr">
        <is>
          <t>-</t>
        </is>
      </c>
      <c r="AB48" s="8" t="n"/>
    </row>
    <row r="49">
      <c r="B49" s="45" t="n"/>
      <c r="C49" s="20" t="inlineStr">
        <is>
          <t>fold6</t>
        </is>
      </c>
      <c r="E49" s="30" t="n">
        <v>0.943182</v>
      </c>
      <c r="F49" s="30" t="n">
        <v>0.9387760000000001</v>
      </c>
      <c r="G49" s="30" t="n">
        <v>0.896104</v>
      </c>
      <c r="H49" s="5" t="n">
        <v>0.875</v>
      </c>
      <c r="S49" s="7" t="inlineStr">
        <is>
          <t>dataset3</t>
        </is>
      </c>
      <c r="T49" s="30">
        <f>E30</f>
        <v/>
      </c>
      <c r="U49" s="30">
        <f>F30</f>
        <v/>
      </c>
      <c r="V49" s="30">
        <f>G30</f>
        <v/>
      </c>
      <c r="AB49" s="8" t="n"/>
    </row>
    <row r="50">
      <c r="B50" s="45" t="n"/>
      <c r="C50" s="20" t="inlineStr">
        <is>
          <t>fold7</t>
        </is>
      </c>
      <c r="E50" s="30" t="n">
        <v>0.907216</v>
      </c>
      <c r="F50" s="30" t="n">
        <v>0.9375</v>
      </c>
      <c r="G50" s="30" t="n">
        <v>0.973333</v>
      </c>
      <c r="H50" s="5" t="n">
        <v>1</v>
      </c>
      <c r="S50" s="7" t="inlineStr">
        <is>
          <t>dataset4</t>
        </is>
      </c>
      <c r="T50" s="27">
        <f>E31</f>
        <v/>
      </c>
      <c r="U50" s="27">
        <f>F31</f>
        <v/>
      </c>
      <c r="V50" s="27">
        <f>G31</f>
        <v/>
      </c>
      <c r="AB50" s="8" t="n"/>
    </row>
    <row r="51">
      <c r="B51" s="45" t="n"/>
      <c r="C51" s="20" t="inlineStr">
        <is>
          <t>fold8</t>
        </is>
      </c>
      <c r="E51" s="30" t="n">
        <v>0.83871</v>
      </c>
      <c r="F51" s="30" t="n">
        <v>0.916667</v>
      </c>
      <c r="G51" s="30" t="n">
        <v>0.881579</v>
      </c>
      <c r="H51" s="5" t="n">
        <v>0.866667</v>
      </c>
      <c r="S51" s="7" t="inlineStr">
        <is>
          <t>Max-Last</t>
        </is>
      </c>
      <c r="T51" s="20">
        <f t="array" ref="T51">MAX(OFFSET(INDIRECT(ADDRESS(ROW(), COLUMN())), -4, 0, 4, 1)) - OFFSET(INDIRECT(ADDRESS(ROW(), COLUMN())), -1, 0)</f>
        <v/>
      </c>
      <c r="U51" s="20">
        <f t="array" ref="U51">MAX(OFFSET(INDIRECT(ADDRESS(ROW(), COLUMN())), -3, 0, 3, 1)) - OFFSET(INDIRECT(ADDRESS(ROW(), COLUMN())), -1, 0)</f>
        <v/>
      </c>
      <c r="V51" s="20">
        <f t="array" ref="V51">MAX(OFFSET(INDIRECT(ADDRESS(ROW(), COLUMN())), -2, 0, 2, 1)) - OFFSET(INDIRECT(ADDRESS(ROW(), COLUMN())), -1, 0)</f>
        <v/>
      </c>
      <c r="W51" s="20">
        <f>AVERAGE(OFFSET(INDIRECT(ADDRESS(ROW(), COLUMN())), 0, -3, 1, 3))</f>
        <v/>
      </c>
      <c r="X51" s="20">
        <f>_xlfn.STDEV.S(OFFSET(INDIRECT(ADDRESS(ROW(), COLUMN())), 0, -4, 1, 3))</f>
        <v/>
      </c>
      <c r="Y51" s="20">
        <f>_xlfn.STDEV.S(OFFSET(INDIRECT(ADDRESS(ROW(), COLUMN())), 0, -5, 1, 3)) / SQRT(3)</f>
        <v/>
      </c>
      <c r="AB51" s="8" t="n"/>
    </row>
    <row r="52">
      <c r="B52" s="45" t="n"/>
      <c r="C52" s="20" t="inlineStr">
        <is>
          <t>fold9</t>
        </is>
      </c>
      <c r="E52" s="30" t="n">
        <v>0.891304</v>
      </c>
      <c r="F52" s="30" t="n">
        <v>0.888889</v>
      </c>
      <c r="G52" s="30" t="n">
        <v>0.938272</v>
      </c>
      <c r="H52" s="5" t="n">
        <v>1</v>
      </c>
      <c r="S52" s="7" t="inlineStr">
        <is>
          <t>Last-Init</t>
        </is>
      </c>
      <c r="T52" s="20">
        <f t="array" ref="T52">OFFSET(INDIRECT(ADDRESS(ROW(), COLUMN())), -2, 0) - OFFSET(INDIRECT(ADDRESS(ROW(), COLUMN())), -5, 0)</f>
        <v/>
      </c>
      <c r="U52" s="20">
        <f t="array" ref="U52">OFFSET(INDIRECT(ADDRESS(ROW(), COLUMN())), -2, 0) - OFFSET(INDIRECT(ADDRESS(ROW(), COLUMN())), -4, 0)</f>
        <v/>
      </c>
      <c r="V52" s="20">
        <f t="array" ref="V52">OFFSET(INDIRECT(ADDRESS(ROW(), COLUMN())), -2, 0) - OFFSET(INDIRECT(ADDRESS(ROW(), COLUMN())), -3, 0)</f>
        <v/>
      </c>
      <c r="W52" s="20">
        <f>AVERAGE(OFFSET(INDIRECT(ADDRESS(ROW(), COLUMN())), 0, -3, 1, 3))</f>
        <v/>
      </c>
      <c r="X52" s="20">
        <f>_xlfn.STDEV.S(OFFSET(INDIRECT(ADDRESS(ROW(), COLUMN())), 0, -4, 1, 3))</f>
        <v/>
      </c>
      <c r="Y52" s="20">
        <f>_xlfn.STDEV.S(OFFSET(INDIRECT(ADDRESS(ROW(), COLUMN())), 0, -5, 1, 3)) / SQRT(3)</f>
        <v/>
      </c>
      <c r="AB52" s="8" t="n"/>
    </row>
    <row r="53">
      <c r="B53" s="45" t="n"/>
      <c r="C53" s="20" t="inlineStr">
        <is>
          <t>fold10</t>
        </is>
      </c>
      <c r="E53" s="30" t="n">
        <v>0.855556</v>
      </c>
      <c r="F53" s="30" t="n">
        <v>0.901099</v>
      </c>
      <c r="G53" s="30" t="n">
        <v>0.959459</v>
      </c>
      <c r="H53" s="5" t="n">
        <v>1</v>
      </c>
      <c r="S53" s="7" t="inlineStr">
        <is>
          <t>fold8</t>
        </is>
      </c>
      <c r="AB53" s="8" t="n"/>
    </row>
    <row r="54">
      <c r="B54" s="18" t="inlineStr">
        <is>
          <t>TEST Masked AUC</t>
        </is>
      </c>
      <c r="C54" s="20" t="inlineStr">
        <is>
          <t>fold1</t>
        </is>
      </c>
      <c r="E54" s="30" t="n">
        <v>0.950754</v>
      </c>
      <c r="F54" s="30" t="n">
        <v>0.959459</v>
      </c>
      <c r="G54" s="30" t="n">
        <v>0.992441</v>
      </c>
      <c r="H54" s="5" t="n">
        <v>0.946429</v>
      </c>
      <c r="S54" s="7" t="inlineStr">
        <is>
          <t>dataset1</t>
        </is>
      </c>
      <c r="T54" s="30">
        <f>E32</f>
        <v/>
      </c>
      <c r="U54" s="20" t="inlineStr">
        <is>
          <t>-</t>
        </is>
      </c>
      <c r="V54" s="20" t="inlineStr">
        <is>
          <t>-</t>
        </is>
      </c>
      <c r="AB54" s="8" t="n"/>
    </row>
    <row r="55">
      <c r="B55" s="45" t="n"/>
      <c r="C55" s="20" t="inlineStr">
        <is>
          <t>fold2</t>
        </is>
      </c>
      <c r="E55" s="30" t="n">
        <v>0.975111</v>
      </c>
      <c r="F55" s="30" t="n">
        <v>0.9238229999999999</v>
      </c>
      <c r="G55" s="30" t="n">
        <v>0.9987239999999999</v>
      </c>
      <c r="H55" s="5" t="n">
        <v>1</v>
      </c>
      <c r="S55" s="7" t="inlineStr">
        <is>
          <t>dataset2</t>
        </is>
      </c>
      <c r="T55" s="30">
        <f>E33</f>
        <v/>
      </c>
      <c r="U55" s="30">
        <f>F33</f>
        <v/>
      </c>
      <c r="V55" s="20" t="inlineStr">
        <is>
          <t>-</t>
        </is>
      </c>
      <c r="AB55" s="8" t="n"/>
    </row>
    <row r="56">
      <c r="B56" s="45" t="n"/>
      <c r="C56" s="20" t="inlineStr">
        <is>
          <t>fold3</t>
        </is>
      </c>
      <c r="E56" s="30" t="n">
        <v>0.980159</v>
      </c>
      <c r="F56" s="30" t="n">
        <v>0.946581</v>
      </c>
      <c r="G56" s="30" t="n">
        <v>0.991538</v>
      </c>
      <c r="H56" s="5" t="n">
        <v>1</v>
      </c>
      <c r="S56" s="7" t="inlineStr">
        <is>
          <t>dataset3</t>
        </is>
      </c>
      <c r="T56" s="30">
        <f>E34</f>
        <v/>
      </c>
      <c r="U56" s="30">
        <f>F34</f>
        <v/>
      </c>
      <c r="V56" s="30">
        <f>G34</f>
        <v/>
      </c>
      <c r="AB56" s="8" t="n"/>
    </row>
    <row r="57">
      <c r="B57" s="45" t="n"/>
      <c r="C57" s="20" t="inlineStr">
        <is>
          <t>fold4</t>
        </is>
      </c>
      <c r="E57" s="30" t="n">
        <v>0.945998</v>
      </c>
      <c r="F57" s="30" t="n">
        <v>0.923246</v>
      </c>
      <c r="G57" s="30" t="n">
        <v>0.961511</v>
      </c>
      <c r="H57" s="5" t="n">
        <v>0.9682539999999999</v>
      </c>
      <c r="S57" s="7" t="inlineStr">
        <is>
          <t>dataset4</t>
        </is>
      </c>
      <c r="T57" s="27">
        <f>E35</f>
        <v/>
      </c>
      <c r="U57" s="27">
        <f>F35</f>
        <v/>
      </c>
      <c r="V57" s="27">
        <f>G35</f>
        <v/>
      </c>
      <c r="AB57" s="8" t="n"/>
    </row>
    <row r="58">
      <c r="B58" s="45" t="n"/>
      <c r="C58" s="20" t="inlineStr">
        <is>
          <t>fold5</t>
        </is>
      </c>
      <c r="E58" s="30" t="n">
        <v>0.972222</v>
      </c>
      <c r="F58" s="30" t="n">
        <v>0.968567</v>
      </c>
      <c r="G58" s="30" t="n">
        <v>0.992653</v>
      </c>
      <c r="H58" s="5" t="n">
        <v>1</v>
      </c>
      <c r="S58" s="7" t="inlineStr">
        <is>
          <t>Max-Last</t>
        </is>
      </c>
      <c r="T58" s="20">
        <f t="array" ref="T58">MAX(OFFSET(INDIRECT(ADDRESS(ROW(), COLUMN())), -4, 0, 4, 1)) - OFFSET(INDIRECT(ADDRESS(ROW(), COLUMN())), -1, 0)</f>
        <v/>
      </c>
      <c r="U58" s="20">
        <f t="array" ref="U58">MAX(OFFSET(INDIRECT(ADDRESS(ROW(), COLUMN())), -3, 0, 3, 1)) - OFFSET(INDIRECT(ADDRESS(ROW(), COLUMN())), -1, 0)</f>
        <v/>
      </c>
      <c r="V58" s="20">
        <f t="array" ref="V58">MAX(OFFSET(INDIRECT(ADDRESS(ROW(), COLUMN())), -2, 0, 2, 1)) - OFFSET(INDIRECT(ADDRESS(ROW(), COLUMN())), -1, 0)</f>
        <v/>
      </c>
      <c r="W58" s="20">
        <f>AVERAGE(OFFSET(INDIRECT(ADDRESS(ROW(), COLUMN())), 0, -3, 1, 3))</f>
        <v/>
      </c>
      <c r="X58" s="20">
        <f>_xlfn.STDEV.S(OFFSET(INDIRECT(ADDRESS(ROW(), COLUMN())), 0, -4, 1, 3))</f>
        <v/>
      </c>
      <c r="Y58" s="20">
        <f>_xlfn.STDEV.S(OFFSET(INDIRECT(ADDRESS(ROW(), COLUMN())), 0, -5, 1, 3)) / SQRT(3)</f>
        <v/>
      </c>
      <c r="AB58" s="8" t="n"/>
    </row>
    <row r="59">
      <c r="B59" s="45" t="n"/>
      <c r="C59" s="20" t="inlineStr">
        <is>
          <t>fold6</t>
        </is>
      </c>
      <c r="E59" s="30" t="n">
        <v>0.993789</v>
      </c>
      <c r="F59" s="30" t="n">
        <v>0.970686</v>
      </c>
      <c r="G59" s="30" t="n">
        <v>0.985385</v>
      </c>
      <c r="H59" s="5" t="n">
        <v>0.933333</v>
      </c>
      <c r="S59" s="7" t="inlineStr">
        <is>
          <t>Last-Init</t>
        </is>
      </c>
      <c r="T59" s="20">
        <f t="array" ref="T59">OFFSET(INDIRECT(ADDRESS(ROW(), COLUMN())), -2, 0) - OFFSET(INDIRECT(ADDRESS(ROW(), COLUMN())), -5, 0)</f>
        <v/>
      </c>
      <c r="U59" s="20">
        <f t="array" ref="U59">OFFSET(INDIRECT(ADDRESS(ROW(), COLUMN())), -2, 0) - OFFSET(INDIRECT(ADDRESS(ROW(), COLUMN())), -4, 0)</f>
        <v/>
      </c>
      <c r="V59" s="20">
        <f t="array" ref="V59">OFFSET(INDIRECT(ADDRESS(ROW(), COLUMN())), -2, 0) - OFFSET(INDIRECT(ADDRESS(ROW(), COLUMN())), -3, 0)</f>
        <v/>
      </c>
      <c r="W59" s="20">
        <f>AVERAGE(OFFSET(INDIRECT(ADDRESS(ROW(), COLUMN())), 0, -3, 1, 3))</f>
        <v/>
      </c>
      <c r="X59" s="20">
        <f>_xlfn.STDEV.S(OFFSET(INDIRECT(ADDRESS(ROW(), COLUMN())), 0, -4, 1, 3))</f>
        <v/>
      </c>
      <c r="Y59" s="20">
        <f>_xlfn.STDEV.S(OFFSET(INDIRECT(ADDRESS(ROW(), COLUMN())), 0, -5, 1, 3)) / SQRT(3)</f>
        <v/>
      </c>
      <c r="AB59" s="8" t="n"/>
    </row>
    <row r="60">
      <c r="B60" s="45" t="n"/>
      <c r="C60" s="20" t="inlineStr">
        <is>
          <t>fold7</t>
        </is>
      </c>
      <c r="E60" s="30" t="n">
        <v>0.975452</v>
      </c>
      <c r="F60" s="30" t="n">
        <v>0.9171049999999999</v>
      </c>
      <c r="G60" s="30" t="n">
        <v>0.9992</v>
      </c>
      <c r="H60" s="5" t="n">
        <v>1</v>
      </c>
      <c r="S60" s="7" t="inlineStr">
        <is>
          <t>fold9</t>
        </is>
      </c>
      <c r="AB60" s="8" t="n"/>
    </row>
    <row r="61">
      <c r="B61" s="45" t="n"/>
      <c r="C61" s="20" t="inlineStr">
        <is>
          <t>fold8</t>
        </is>
      </c>
      <c r="E61" s="30" t="n">
        <v>0.936041</v>
      </c>
      <c r="F61" s="30" t="n">
        <v>0.927619</v>
      </c>
      <c r="G61" s="30" t="n">
        <v>0.988462</v>
      </c>
      <c r="H61" s="5" t="n">
        <v>0.981481</v>
      </c>
      <c r="S61" s="7" t="inlineStr">
        <is>
          <t>dataset1</t>
        </is>
      </c>
      <c r="T61" s="30">
        <f>E36</f>
        <v/>
      </c>
      <c r="U61" s="20" t="inlineStr">
        <is>
          <t>-</t>
        </is>
      </c>
      <c r="V61" s="20" t="inlineStr">
        <is>
          <t>-</t>
        </is>
      </c>
      <c r="AB61" s="8" t="n"/>
    </row>
    <row r="62">
      <c r="B62" s="45" t="n"/>
      <c r="C62" s="20" t="inlineStr">
        <is>
          <t>fold9</t>
        </is>
      </c>
      <c r="E62" s="30" t="n">
        <v>0.929451</v>
      </c>
      <c r="F62" s="30" t="n">
        <v>0.931013</v>
      </c>
      <c r="G62" s="30" t="n">
        <v>0.98852</v>
      </c>
      <c r="H62" s="5" t="n">
        <v>1</v>
      </c>
      <c r="S62" s="7" t="inlineStr">
        <is>
          <t>dataset2</t>
        </is>
      </c>
      <c r="T62" s="30">
        <f>E37</f>
        <v/>
      </c>
      <c r="U62" s="30">
        <f>F37</f>
        <v/>
      </c>
      <c r="V62" s="20" t="inlineStr">
        <is>
          <t>-</t>
        </is>
      </c>
      <c r="AB62" s="8" t="n"/>
    </row>
    <row r="63">
      <c r="B63" s="45" t="n"/>
      <c r="C63" s="20" t="inlineStr">
        <is>
          <t>fold10</t>
        </is>
      </c>
      <c r="E63" s="30" t="n">
        <v>0.948909</v>
      </c>
      <c r="F63" s="30" t="n">
        <v>0.896499</v>
      </c>
      <c r="G63" s="30" t="n">
        <v>0.993333</v>
      </c>
      <c r="H63" s="5" t="n">
        <v>1</v>
      </c>
      <c r="S63" s="7" t="inlineStr">
        <is>
          <t>dataset3</t>
        </is>
      </c>
      <c r="T63" s="30">
        <f>E38</f>
        <v/>
      </c>
      <c r="U63" s="30">
        <f>F38</f>
        <v/>
      </c>
      <c r="V63" s="30">
        <f>G38</f>
        <v/>
      </c>
      <c r="AA63" s="20" t="inlineStr">
        <is>
          <t>Forgetting</t>
        </is>
      </c>
      <c r="AB63" s="8" t="inlineStr">
        <is>
          <t>BWT</t>
        </is>
      </c>
    </row>
    <row r="64">
      <c r="B64" s="29" t="inlineStr">
        <is>
          <t>VAL ACC</t>
        </is>
      </c>
      <c r="C64" s="20" t="inlineStr">
        <is>
          <t>fold1</t>
        </is>
      </c>
      <c r="E64" s="30" t="n">
        <v>0.84375</v>
      </c>
      <c r="F64" s="30" t="n">
        <v>0.895833</v>
      </c>
      <c r="G64" s="30" t="n">
        <v>0.894737</v>
      </c>
      <c r="H64" s="5" t="n">
        <v>0.933333</v>
      </c>
      <c r="S64" s="7" t="inlineStr">
        <is>
          <t>dataset4</t>
        </is>
      </c>
      <c r="T64" s="27">
        <f>E39</f>
        <v/>
      </c>
      <c r="U64" s="27">
        <f>F39</f>
        <v/>
      </c>
      <c r="V64" s="27">
        <f>G39</f>
        <v/>
      </c>
      <c r="AA64" s="20">
        <f t="array" ref="AA64">OFFSET(INDIRECT(ADDRESS(ROW(), COLUMN())), -55, -4)</f>
        <v/>
      </c>
      <c r="AB64" s="8">
        <f t="array" ref="AB64">OFFSET(INDIRECT(ADDRESS(ROW(), COLUMN())), -54, -5)</f>
        <v/>
      </c>
    </row>
    <row r="65">
      <c r="B65" s="45" t="n"/>
      <c r="C65" s="20" t="inlineStr">
        <is>
          <t>fold2</t>
        </is>
      </c>
      <c r="E65" s="30" t="n">
        <v>0.770642</v>
      </c>
      <c r="F65" s="30" t="n">
        <v>0.83871</v>
      </c>
      <c r="G65" s="30" t="n">
        <v>0.945946</v>
      </c>
      <c r="H65" s="5" t="n">
        <v>0.933333</v>
      </c>
      <c r="S65" s="7" t="inlineStr">
        <is>
          <t>Max-Last</t>
        </is>
      </c>
      <c r="T65" s="20">
        <f t="array" ref="T65">MAX(OFFSET(INDIRECT(ADDRESS(ROW(), COLUMN())), -4, 0, 4, 1)) - OFFSET(INDIRECT(ADDRESS(ROW(), COLUMN())), -1, 0)</f>
        <v/>
      </c>
      <c r="U65" s="20">
        <f t="array" ref="U65">MAX(OFFSET(INDIRECT(ADDRESS(ROW(), COLUMN())), -3, 0, 3, 1)) - OFFSET(INDIRECT(ADDRESS(ROW(), COLUMN())), -1, 0)</f>
        <v/>
      </c>
      <c r="V65" s="20">
        <f t="array" ref="V65">MAX(OFFSET(INDIRECT(ADDRESS(ROW(), COLUMN())), -2, 0, 2, 1)) - OFFSET(INDIRECT(ADDRESS(ROW(), COLUMN())), -1, 0)</f>
        <v/>
      </c>
      <c r="W65" s="20">
        <f>AVERAGE(OFFSET(INDIRECT(ADDRESS(ROW(), COLUMN())), 0, -3, 1, 3))</f>
        <v/>
      </c>
      <c r="X65" s="20">
        <f>_xlfn.STDEV.S(OFFSET(INDIRECT(ADDRESS(ROW(), COLUMN())), 0, -4, 1, 3))</f>
        <v/>
      </c>
      <c r="Y65" s="20">
        <f>_xlfn.STDEV.S(OFFSET(INDIRECT(ADDRESS(ROW(), COLUMN())), 0, -5, 1, 3)) / SQRT(3)</f>
        <v/>
      </c>
      <c r="AA65" s="20">
        <f t="array" ref="AA65">OFFSET(INDIRECT(ADDRESS(ROW(), COLUMN())), -49, -4)</f>
        <v/>
      </c>
      <c r="AB65" s="8">
        <f t="array" ref="AB65">OFFSET(INDIRECT(ADDRESS(ROW(), COLUMN())), -48, -5)</f>
        <v/>
      </c>
    </row>
    <row r="66">
      <c r="B66" s="45" t="n"/>
      <c r="C66" s="20" t="inlineStr">
        <is>
          <t>fold3</t>
        </is>
      </c>
      <c r="E66" s="30" t="n">
        <v>0.752688</v>
      </c>
      <c r="F66" s="30" t="n">
        <v>0.8817199999999999</v>
      </c>
      <c r="G66" s="30" t="n">
        <v>0.92</v>
      </c>
      <c r="H66" s="5" t="n">
        <v>0.866667</v>
      </c>
      <c r="S66" s="7" t="inlineStr">
        <is>
          <t>Last-Init</t>
        </is>
      </c>
      <c r="T66" s="20">
        <f t="array" ref="T66">OFFSET(INDIRECT(ADDRESS(ROW(), COLUMN())), -2, 0) - OFFSET(INDIRECT(ADDRESS(ROW(), COLUMN())), -5, 0)</f>
        <v/>
      </c>
      <c r="U66" s="20">
        <f t="array" ref="U66">OFFSET(INDIRECT(ADDRESS(ROW(), COLUMN())), -2, 0) - OFFSET(INDIRECT(ADDRESS(ROW(), COLUMN())), -4, 0)</f>
        <v/>
      </c>
      <c r="V66" s="20">
        <f t="array" ref="V66">OFFSET(INDIRECT(ADDRESS(ROW(), COLUMN())), -2, 0) - OFFSET(INDIRECT(ADDRESS(ROW(), COLUMN())), -3, 0)</f>
        <v/>
      </c>
      <c r="W66" s="20">
        <f>AVERAGE(OFFSET(INDIRECT(ADDRESS(ROW(), COLUMN())), 0, -3, 1, 3))</f>
        <v/>
      </c>
      <c r="X66" s="20">
        <f>_xlfn.STDEV.S(OFFSET(INDIRECT(ADDRESS(ROW(), COLUMN())), 0, -4, 1, 3))</f>
        <v/>
      </c>
      <c r="Y66" s="20">
        <f>_xlfn.STDEV.S(OFFSET(INDIRECT(ADDRESS(ROW(), COLUMN())), 0, -5, 1, 3)) / SQRT(3)</f>
        <v/>
      </c>
      <c r="AA66" s="20">
        <f t="array" ref="AA66">OFFSET(INDIRECT(ADDRESS(ROW(), COLUMN())), -43, -4)</f>
        <v/>
      </c>
      <c r="AB66" s="8">
        <f t="array" ref="AB66">OFFSET(INDIRECT(ADDRESS(ROW(), COLUMN())), -42, -5)</f>
        <v/>
      </c>
    </row>
    <row r="67">
      <c r="B67" s="45" t="n"/>
      <c r="C67" s="20" t="inlineStr">
        <is>
          <t>fold4</t>
        </is>
      </c>
      <c r="E67" s="30" t="n">
        <v>0.824742</v>
      </c>
      <c r="F67" s="30" t="n">
        <v>0.84375</v>
      </c>
      <c r="G67" s="30" t="n">
        <v>0.883117</v>
      </c>
      <c r="H67" s="5" t="n">
        <v>1</v>
      </c>
      <c r="S67" s="7" t="inlineStr">
        <is>
          <t>fold10</t>
        </is>
      </c>
      <c r="AA67" s="20">
        <f t="array" ref="AA67">OFFSET(INDIRECT(ADDRESS(ROW(), COLUMN())), -37, -4)</f>
        <v/>
      </c>
      <c r="AB67" s="8">
        <f t="array" ref="AB67">OFFSET(INDIRECT(ADDRESS(ROW(), COLUMN())), -36, -5)</f>
        <v/>
      </c>
    </row>
    <row r="68">
      <c r="B68" s="45" t="n"/>
      <c r="C68" s="20" t="inlineStr">
        <is>
          <t>fold5</t>
        </is>
      </c>
      <c r="E68" s="30" t="n">
        <v>0.847619</v>
      </c>
      <c r="F68" s="30" t="n">
        <v>0.863158</v>
      </c>
      <c r="G68" s="30" t="n">
        <v>0.893333</v>
      </c>
      <c r="H68" s="5" t="n">
        <v>0.933333</v>
      </c>
      <c r="S68" s="7" t="inlineStr">
        <is>
          <t>dataset1</t>
        </is>
      </c>
      <c r="T68" s="30">
        <f>E40</f>
        <v/>
      </c>
      <c r="U68" s="20" t="inlineStr">
        <is>
          <t>-</t>
        </is>
      </c>
      <c r="V68" s="20" t="inlineStr">
        <is>
          <t>-</t>
        </is>
      </c>
      <c r="AA68" s="20">
        <f t="array" ref="AA68">OFFSET(INDIRECT(ADDRESS(ROW(), COLUMN())), -31, -4)</f>
        <v/>
      </c>
      <c r="AB68" s="8">
        <f t="array" ref="AB68">OFFSET(INDIRECT(ADDRESS(ROW(), COLUMN())), -30, -5)</f>
        <v/>
      </c>
    </row>
    <row r="69">
      <c r="B69" s="45" t="n"/>
      <c r="C69" s="20" t="inlineStr">
        <is>
          <t>fold6</t>
        </is>
      </c>
      <c r="E69" s="30" t="n">
        <v>0.864407</v>
      </c>
      <c r="F69" s="30" t="n">
        <v>0.84375</v>
      </c>
      <c r="G69" s="30" t="n">
        <v>0.893333</v>
      </c>
      <c r="H69" s="5" t="n">
        <v>1</v>
      </c>
      <c r="S69" s="7" t="inlineStr">
        <is>
          <t>dataset2</t>
        </is>
      </c>
      <c r="T69" s="30">
        <f>E41</f>
        <v/>
      </c>
      <c r="U69" s="30">
        <f>F41</f>
        <v/>
      </c>
      <c r="V69" s="20" t="inlineStr">
        <is>
          <t>-</t>
        </is>
      </c>
      <c r="AA69" s="20">
        <f t="array" ref="AA69">OFFSET(INDIRECT(ADDRESS(ROW(), COLUMN())), -25, -4)</f>
        <v/>
      </c>
      <c r="AB69" s="8">
        <f t="array" ref="AB69">OFFSET(INDIRECT(ADDRESS(ROW(), COLUMN())), -24, -5)</f>
        <v/>
      </c>
    </row>
    <row r="70">
      <c r="B70" s="45" t="n"/>
      <c r="C70" s="20" t="inlineStr">
        <is>
          <t>fold7</t>
        </is>
      </c>
      <c r="E70" s="30" t="n">
        <v>0.893617</v>
      </c>
      <c r="F70" s="30" t="n">
        <v>0.9375</v>
      </c>
      <c r="G70" s="30" t="n">
        <v>0.858974</v>
      </c>
      <c r="H70" s="5" t="n">
        <v>1</v>
      </c>
      <c r="S70" s="7" t="inlineStr">
        <is>
          <t>dataset3</t>
        </is>
      </c>
      <c r="T70" s="30">
        <f>E42</f>
        <v/>
      </c>
      <c r="U70" s="30">
        <f>F42</f>
        <v/>
      </c>
      <c r="V70" s="30">
        <f>G42</f>
        <v/>
      </c>
      <c r="AA70" s="20">
        <f t="array" ref="AA70">OFFSET(INDIRECT(ADDRESS(ROW(), COLUMN())), -19, -4)</f>
        <v/>
      </c>
      <c r="AB70" s="8">
        <f t="array" ref="AB70">OFFSET(INDIRECT(ADDRESS(ROW(), COLUMN())), -18, -5)</f>
        <v/>
      </c>
    </row>
    <row r="71">
      <c r="B71" s="45" t="n"/>
      <c r="C71" s="20" t="inlineStr">
        <is>
          <t>fold8</t>
        </is>
      </c>
      <c r="E71" s="30" t="n">
        <v>0.842105</v>
      </c>
      <c r="F71" s="30" t="n">
        <v>0.925532</v>
      </c>
      <c r="G71" s="30" t="n">
        <v>0.933333</v>
      </c>
      <c r="H71" s="5" t="n">
        <v>0.933333</v>
      </c>
      <c r="S71" s="7" t="inlineStr">
        <is>
          <t>dataset4</t>
        </is>
      </c>
      <c r="T71" s="27">
        <f>E43</f>
        <v/>
      </c>
      <c r="U71" s="27">
        <f>F43</f>
        <v/>
      </c>
      <c r="V71" s="27">
        <f>G43</f>
        <v/>
      </c>
      <c r="AA71" s="20">
        <f t="array" ref="AA71">OFFSET(INDIRECT(ADDRESS(ROW(), COLUMN())), -13, -4)</f>
        <v/>
      </c>
      <c r="AB71" s="8">
        <f t="array" ref="AB71">OFFSET(INDIRECT(ADDRESS(ROW(), COLUMN())), -12, -5)</f>
        <v/>
      </c>
    </row>
    <row r="72">
      <c r="B72" s="45" t="n"/>
      <c r="C72" s="20" t="inlineStr">
        <is>
          <t>fold9</t>
        </is>
      </c>
      <c r="E72" s="30" t="n">
        <v>0.738739</v>
      </c>
      <c r="F72" s="30" t="n">
        <v>0.870968</v>
      </c>
      <c r="G72" s="30" t="n">
        <v>0.84</v>
      </c>
      <c r="H72" s="5" t="n">
        <v>0.866667</v>
      </c>
      <c r="S72" s="7" t="inlineStr">
        <is>
          <t>Max-Last</t>
        </is>
      </c>
      <c r="T72" s="20">
        <f t="array" ref="T72">MAX(OFFSET(INDIRECT(ADDRESS(ROW(), COLUMN())), -4, 0, 4, 1)) - OFFSET(INDIRECT(ADDRESS(ROW(), COLUMN())), -1, 0)</f>
        <v/>
      </c>
      <c r="U72" s="20">
        <f t="array" ref="U72">MAX(OFFSET(INDIRECT(ADDRESS(ROW(), COLUMN())), -3, 0, 3, 1)) - OFFSET(INDIRECT(ADDRESS(ROW(), COLUMN())), -1, 0)</f>
        <v/>
      </c>
      <c r="V72" s="20">
        <f t="array" ref="V72">MAX(OFFSET(INDIRECT(ADDRESS(ROW(), COLUMN())), -2, 0, 2, 1)) - OFFSET(INDIRECT(ADDRESS(ROW(), COLUMN())), -1, 0)</f>
        <v/>
      </c>
      <c r="W72" s="20">
        <f>AVERAGE(OFFSET(INDIRECT(ADDRESS(ROW(), COLUMN())), 0, -3, 1, 3))</f>
        <v/>
      </c>
      <c r="X72" s="20">
        <f>_xlfn.STDEV.S(OFFSET(INDIRECT(ADDRESS(ROW(), COLUMN())), 0, -4, 1, 3))</f>
        <v/>
      </c>
      <c r="Y72" s="20">
        <f>_xlfn.STDEV.S(OFFSET(INDIRECT(ADDRESS(ROW(), COLUMN())), 0, -5, 1, 3)) / SQRT(3)</f>
        <v/>
      </c>
      <c r="AA72" s="20">
        <f t="array" ref="AA72">OFFSET(INDIRECT(ADDRESS(ROW(), COLUMN())), -7, -4)</f>
        <v/>
      </c>
      <c r="AB72" s="8">
        <f t="array" ref="AB72">OFFSET(INDIRECT(ADDRESS(ROW(), COLUMN())), -6, -5)</f>
        <v/>
      </c>
    </row>
    <row r="73">
      <c r="B73" s="46" t="n"/>
      <c r="C73" s="30" t="inlineStr">
        <is>
          <t>fold10</t>
        </is>
      </c>
      <c r="D73" s="41" t="n"/>
      <c r="E73" s="30" t="n">
        <v>0.788462</v>
      </c>
      <c r="F73" s="30" t="n">
        <v>0.826531</v>
      </c>
      <c r="G73" s="30" t="n">
        <v>0.934211</v>
      </c>
      <c r="H73" s="5" t="n">
        <v>0.933333</v>
      </c>
      <c r="S73" s="7" t="inlineStr">
        <is>
          <t>Last-Init</t>
        </is>
      </c>
      <c r="T73" s="20">
        <f t="array" ref="T73">OFFSET(INDIRECT(ADDRESS(ROW(), COLUMN())), -2, 0) - OFFSET(INDIRECT(ADDRESS(ROW(), COLUMN())), -5, 0)</f>
        <v/>
      </c>
      <c r="U73" s="20">
        <f t="array" ref="U73">OFFSET(INDIRECT(ADDRESS(ROW(), COLUMN())), -2, 0) - OFFSET(INDIRECT(ADDRESS(ROW(), COLUMN())), -4, 0)</f>
        <v/>
      </c>
      <c r="V73" s="20">
        <f t="array" ref="V73">OFFSET(INDIRECT(ADDRESS(ROW(), COLUMN())), -2, 0) - OFFSET(INDIRECT(ADDRESS(ROW(), COLUMN())), -3, 0)</f>
        <v/>
      </c>
      <c r="W73" s="20">
        <f>AVERAGE(OFFSET(INDIRECT(ADDRESS(ROW(), COLUMN())), 0, -3, 1, 3))</f>
        <v/>
      </c>
      <c r="X73" s="20">
        <f>_xlfn.STDEV.S(OFFSET(INDIRECT(ADDRESS(ROW(), COLUMN())), 0, -4, 1, 3))</f>
        <v/>
      </c>
      <c r="Y73" s="20">
        <f>_xlfn.STDEV.S(OFFSET(INDIRECT(ADDRESS(ROW(), COLUMN())), 0, -5, 1, 3)) / SQRT(3)</f>
        <v/>
      </c>
      <c r="AA73" s="20">
        <f t="array" ref="AA73">OFFSET(INDIRECT(ADDRESS(ROW(), COLUMN())), -1, -4)</f>
        <v/>
      </c>
      <c r="AB73" s="8">
        <f t="array" ref="AB73">OFFSET(INDIRECT(ADDRESS(ROW(), COLUMN())), 0, -5)</f>
        <v/>
      </c>
    </row>
    <row r="74">
      <c r="S74" s="7" t="inlineStr">
        <is>
          <t>average</t>
        </is>
      </c>
      <c r="AA74" s="9">
        <f>ROUND(AVERAGE(OFFSET(INDIRECT(ADDRESS(ROW(), COLUMN())), -10, 0, 10, 1)), 3)</f>
        <v/>
      </c>
      <c r="AB74" s="16">
        <f>ROUND(AVERAGE(OFFSET(INDIRECT(ADDRESS(ROW(), COLUMN())), -10, 0, 10, 1)), 3)</f>
        <v/>
      </c>
    </row>
    <row r="75">
      <c r="S75" s="7" t="inlineStr">
        <is>
          <t>SD</t>
        </is>
      </c>
      <c r="AA75" s="9">
        <f>ROUND(_xlfn.STDEV.S(OFFSET(INDIRECT(ADDRESS(ROW(), COLUMN())), -11, 0, 10, 1)), 3)</f>
        <v/>
      </c>
      <c r="AB75" s="16">
        <f>ROUND(_xlfn.STDEV.S(OFFSET(INDIRECT(ADDRESS(ROW(), COLUMN())), -11, 0, 10, 1)), 3)</f>
        <v/>
      </c>
    </row>
    <row r="76">
      <c r="S76" s="10" t="inlineStr">
        <is>
          <t>SE</t>
        </is>
      </c>
      <c r="T76" s="11" t="n"/>
      <c r="U76" s="11" t="n"/>
      <c r="V76" s="11" t="n"/>
      <c r="W76" s="11" t="n"/>
      <c r="X76" s="11" t="n"/>
      <c r="Y76" s="11" t="n"/>
      <c r="Z76" s="11" t="n"/>
      <c r="AA76" s="12">
        <f>ROUND(_xlfn.STDEV.S(OFFSET(INDIRECT(ADDRESS(ROW(), COLUMN())), -12, 0, 10, 1)) / SQRT(10), 3)</f>
        <v/>
      </c>
      <c r="AB76" s="17">
        <f>ROUND(_xlfn.STDEV.S(OFFSET(INDIRECT(ADDRESS(ROW(), COLUMN())), -12, 0, 10, 1)) / SQRT(10), 3)</f>
        <v/>
      </c>
    </row>
  </sheetData>
  <mergeCells count="57">
    <mergeCell ref="AD2:AM2"/>
    <mergeCell ref="B54:B63"/>
    <mergeCell ref="C62:D62"/>
    <mergeCell ref="C68:D68"/>
    <mergeCell ref="B64:B73"/>
    <mergeCell ref="AO2:AV2"/>
    <mergeCell ref="BG3:BN3"/>
    <mergeCell ref="C58:D58"/>
    <mergeCell ref="C20:C23"/>
    <mergeCell ref="C45:D45"/>
    <mergeCell ref="C64:D64"/>
    <mergeCell ref="C73:D73"/>
    <mergeCell ref="C4:C7"/>
    <mergeCell ref="C47:D47"/>
    <mergeCell ref="C54:D54"/>
    <mergeCell ref="AO3:AV3"/>
    <mergeCell ref="C65:D65"/>
    <mergeCell ref="AD3:AM3"/>
    <mergeCell ref="C63:D63"/>
    <mergeCell ref="C16:C19"/>
    <mergeCell ref="C55:D55"/>
    <mergeCell ref="AX2:BE2"/>
    <mergeCell ref="C50:D50"/>
    <mergeCell ref="C44:D44"/>
    <mergeCell ref="C12:C15"/>
    <mergeCell ref="C56:D56"/>
    <mergeCell ref="C40:C43"/>
    <mergeCell ref="C59:D59"/>
    <mergeCell ref="C46:D46"/>
    <mergeCell ref="B4:B43"/>
    <mergeCell ref="C60:D60"/>
    <mergeCell ref="C51:D51"/>
    <mergeCell ref="C8:C11"/>
    <mergeCell ref="S3:AB3"/>
    <mergeCell ref="C71:D71"/>
    <mergeCell ref="C36:C39"/>
    <mergeCell ref="C61:D61"/>
    <mergeCell ref="B2:H2"/>
    <mergeCell ref="C52:D52"/>
    <mergeCell ref="C70:D70"/>
    <mergeCell ref="S2:AB2"/>
    <mergeCell ref="BG2:BN2"/>
    <mergeCell ref="C48:D48"/>
    <mergeCell ref="C32:C35"/>
    <mergeCell ref="C28:C31"/>
    <mergeCell ref="AX3:BE3"/>
    <mergeCell ref="B44:B53"/>
    <mergeCell ref="C72:D72"/>
    <mergeCell ref="C67:D67"/>
    <mergeCell ref="J3:Q3"/>
    <mergeCell ref="C57:D57"/>
    <mergeCell ref="C66:D66"/>
    <mergeCell ref="J2:Q2"/>
    <mergeCell ref="C53:D53"/>
    <mergeCell ref="C24:C27"/>
    <mergeCell ref="C69:D69"/>
    <mergeCell ref="C49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CANCAN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2026-09-07T08:39:38Z</dcterms:modified>
  <cp:lastModifiedBy>cancan gou</cp:lastModifiedBy>
</cp:coreProperties>
</file>